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atson\Dropbox\Tapestry\"/>
    </mc:Choice>
  </mc:AlternateContent>
  <xr:revisionPtr revIDLastSave="0" documentId="8_{1006301C-3978-4B4E-BA9A-2DE35DCBC348}" xr6:coauthVersionLast="47" xr6:coauthVersionMax="47" xr10:uidLastSave="{00000000-0000-0000-0000-000000000000}"/>
  <bookViews>
    <workbookView xWindow="-120" yWindow="-120" windowWidth="18240" windowHeight="28440" activeTab="1" xr2:uid="{B693552A-774D-4AD1-9A94-F53231865C54}"/>
  </bookViews>
  <sheets>
    <sheet name="Cropscape_Bridge" sheetId="2" r:id="rId1"/>
    <sheet name="Tapesty_Bridge" sheetId="4" r:id="rId2"/>
    <sheet name="Tap_Ag_Sect" sheetId="1" r:id="rId3"/>
    <sheet name="pivottable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3" l="1"/>
  <c r="E85" i="3"/>
  <c r="G122" i="2"/>
  <c r="F122" i="2"/>
  <c r="E122" i="2"/>
  <c r="G31" i="2"/>
  <c r="G30" i="2"/>
  <c r="G18" i="2"/>
  <c r="G120" i="2"/>
  <c r="G119" i="2"/>
  <c r="G118" i="2"/>
  <c r="G117" i="2"/>
  <c r="G116" i="2"/>
  <c r="M3" i="2"/>
  <c r="G115" i="2"/>
  <c r="G114" i="2"/>
  <c r="G113" i="2"/>
  <c r="G112" i="2"/>
  <c r="G111" i="2"/>
  <c r="G104" i="2"/>
  <c r="G105" i="2"/>
  <c r="G106" i="2"/>
  <c r="G107" i="2"/>
  <c r="G108" i="2"/>
  <c r="G109" i="2"/>
  <c r="G110" i="2"/>
  <c r="G103" i="2"/>
  <c r="G100" i="2"/>
  <c r="G101" i="2"/>
  <c r="G102" i="2"/>
  <c r="G99" i="2"/>
  <c r="G98" i="2"/>
  <c r="G97" i="2"/>
  <c r="G95" i="2"/>
  <c r="G94" i="2"/>
  <c r="G93" i="2"/>
  <c r="G92" i="2"/>
  <c r="G91" i="2"/>
  <c r="G90" i="2"/>
  <c r="G89" i="2"/>
  <c r="G88" i="2"/>
  <c r="G96" i="2"/>
  <c r="G86" i="2"/>
  <c r="G87" i="2"/>
  <c r="G85" i="2"/>
  <c r="E85" i="2"/>
  <c r="F85" i="2"/>
  <c r="G84" i="2"/>
  <c r="G83" i="2"/>
  <c r="G82" i="2"/>
  <c r="G81" i="2"/>
  <c r="G80" i="2"/>
  <c r="G79" i="2"/>
  <c r="G78" i="2"/>
  <c r="G77" i="2"/>
  <c r="G76" i="2"/>
  <c r="G75" i="2"/>
  <c r="G74" i="2"/>
  <c r="G38" i="2"/>
  <c r="G35" i="2"/>
  <c r="G73" i="2"/>
  <c r="G69" i="2"/>
  <c r="G70" i="2"/>
  <c r="G71" i="2"/>
  <c r="G72" i="2"/>
  <c r="G68" i="2"/>
  <c r="G67" i="2"/>
  <c r="G61" i="2"/>
  <c r="G60" i="2"/>
  <c r="G49" i="2"/>
  <c r="G50" i="2"/>
  <c r="G51" i="2"/>
  <c r="G52" i="2"/>
  <c r="G53" i="2"/>
  <c r="G54" i="2"/>
  <c r="G55" i="2"/>
  <c r="G48" i="2"/>
  <c r="G46" i="2"/>
  <c r="G66" i="2"/>
  <c r="G65" i="2"/>
  <c r="G64" i="2"/>
  <c r="G63" i="2"/>
  <c r="G62" i="2"/>
  <c r="G59" i="2"/>
  <c r="G58" i="2"/>
  <c r="G57" i="2"/>
  <c r="G56" i="2"/>
  <c r="G47" i="2"/>
  <c r="G45" i="2"/>
  <c r="G44" i="2"/>
  <c r="G43" i="2"/>
  <c r="G41" i="2"/>
  <c r="G40" i="2"/>
  <c r="G39" i="2"/>
  <c r="G37" i="2"/>
  <c r="G36" i="2"/>
  <c r="G34" i="2"/>
  <c r="G33" i="2"/>
  <c r="G32" i="2"/>
  <c r="M2" i="2"/>
  <c r="G29" i="2"/>
  <c r="G28" i="2"/>
  <c r="G27" i="2"/>
  <c r="G26" i="2"/>
  <c r="G25" i="2"/>
  <c r="G24" i="2"/>
  <c r="G23" i="2"/>
  <c r="G22" i="2"/>
  <c r="G21" i="2"/>
  <c r="G20" i="2"/>
  <c r="G19" i="2"/>
  <c r="G17" i="2"/>
  <c r="G16" i="2"/>
  <c r="G15" i="2"/>
  <c r="G14" i="2"/>
  <c r="G12" i="2"/>
  <c r="G11" i="2"/>
  <c r="G10" i="2"/>
  <c r="G9" i="2"/>
  <c r="G8" i="2"/>
  <c r="G7" i="2"/>
  <c r="G6" i="2"/>
  <c r="G5" i="2"/>
  <c r="G4" i="2"/>
  <c r="G3" i="2"/>
  <c r="G2" i="2"/>
  <c r="G13" i="2"/>
  <c r="G42" i="2"/>
  <c r="D11" i="4"/>
  <c r="D10" i="4"/>
  <c r="D9" i="4"/>
  <c r="D8" i="4"/>
  <c r="D7" i="4"/>
  <c r="D6" i="4"/>
  <c r="D5" i="4"/>
</calcChain>
</file>

<file path=xl/sharedStrings.xml><?xml version="1.0" encoding="utf-8"?>
<sst xmlns="http://schemas.openxmlformats.org/spreadsheetml/2006/main" count="287" uniqueCount="157">
  <si>
    <t>Corn</t>
  </si>
  <si>
    <t>Cotton</t>
  </si>
  <si>
    <t>Rice</t>
  </si>
  <si>
    <t>Sorghum</t>
  </si>
  <si>
    <t>Sunflower</t>
  </si>
  <si>
    <t>Sweet Corn</t>
  </si>
  <si>
    <t>Pop or Orn Corn</t>
  </si>
  <si>
    <t>Mint</t>
  </si>
  <si>
    <t>Barley</t>
  </si>
  <si>
    <t>Durum Wheat</t>
  </si>
  <si>
    <t>Spring Wheat</t>
  </si>
  <si>
    <t>Winter Wheat</t>
  </si>
  <si>
    <t>Rye</t>
  </si>
  <si>
    <t>Oats</t>
  </si>
  <si>
    <t>Canola</t>
  </si>
  <si>
    <t>Flaxseed</t>
  </si>
  <si>
    <t>Safflower</t>
  </si>
  <si>
    <t>Mustard</t>
  </si>
  <si>
    <t>Alfalfa</t>
  </si>
  <si>
    <t>Other Hay/Non Alfalfa</t>
  </si>
  <si>
    <t>Sugarbeets</t>
  </si>
  <si>
    <t>Dry Beans</t>
  </si>
  <si>
    <t>Potatoes</t>
  </si>
  <si>
    <t>Other Crops</t>
  </si>
  <si>
    <t>Sweet Potatoes</t>
  </si>
  <si>
    <t>Misc Vegs &amp; Fruits</t>
  </si>
  <si>
    <t>Watermelons</t>
  </si>
  <si>
    <t>Onions</t>
  </si>
  <si>
    <t>Cucumbers</t>
  </si>
  <si>
    <t>Chick Peas</t>
  </si>
  <si>
    <t>Lentils</t>
  </si>
  <si>
    <t>Peas</t>
  </si>
  <si>
    <t>Tomatoes</t>
  </si>
  <si>
    <t>Herbs</t>
  </si>
  <si>
    <t>Clover/Wildflowers</t>
  </si>
  <si>
    <t>Sod/Grass Seed</t>
  </si>
  <si>
    <t>Fallow/Idle Cropland</t>
  </si>
  <si>
    <t>Cherries</t>
  </si>
  <si>
    <t>Peaches</t>
  </si>
  <si>
    <t>Apples</t>
  </si>
  <si>
    <t>Grapes</t>
  </si>
  <si>
    <t>Christmas Trees</t>
  </si>
  <si>
    <t>Other Tree Crops</t>
  </si>
  <si>
    <t>Citrus</t>
  </si>
  <si>
    <t>Pecans</t>
  </si>
  <si>
    <t>Almonds</t>
  </si>
  <si>
    <t>Walnuts</t>
  </si>
  <si>
    <t>Pears</t>
  </si>
  <si>
    <t>Aquaculture</t>
  </si>
  <si>
    <t>Pistachios</t>
  </si>
  <si>
    <t>Triticale</t>
  </si>
  <si>
    <t>Carrots</t>
  </si>
  <si>
    <t>Garlic</t>
  </si>
  <si>
    <t>Cantaloupes</t>
  </si>
  <si>
    <t>Prunes</t>
  </si>
  <si>
    <t>Olives</t>
  </si>
  <si>
    <t>Oranges</t>
  </si>
  <si>
    <t>Honeydew Melons</t>
  </si>
  <si>
    <t>Broccoli</t>
  </si>
  <si>
    <t>Peppers</t>
  </si>
  <si>
    <t>Pomegranates</t>
  </si>
  <si>
    <t>Nectarines</t>
  </si>
  <si>
    <t>Greens</t>
  </si>
  <si>
    <t>Plums</t>
  </si>
  <si>
    <t>Strawberries</t>
  </si>
  <si>
    <t>Squash</t>
  </si>
  <si>
    <t>Dbl Crop WinWht/Corn</t>
  </si>
  <si>
    <t>Dbl Crop Oats/Corn</t>
  </si>
  <si>
    <t>Lettuce</t>
  </si>
  <si>
    <t>Dbl Crop Triticale/Corn</t>
  </si>
  <si>
    <t>Pumpkins</t>
  </si>
  <si>
    <t>Dbl Crop Lettuce/Cantaloupe</t>
  </si>
  <si>
    <t>Dbl Crop Lettuce/Cotton</t>
  </si>
  <si>
    <t>Dbl Crop WinWht/Sorghum</t>
  </si>
  <si>
    <t>Dbl Crop Barley/Corn</t>
  </si>
  <si>
    <t>Dbl Crop WinWht/Cotton</t>
  </si>
  <si>
    <t>Blueberries</t>
  </si>
  <si>
    <t>Cabbage</t>
  </si>
  <si>
    <t>Cauliflower</t>
  </si>
  <si>
    <t>Celery</t>
  </si>
  <si>
    <t>Radishes</t>
  </si>
  <si>
    <t>Soybeans</t>
  </si>
  <si>
    <t>Tobacco</t>
  </si>
  <si>
    <t>Peanuts</t>
  </si>
  <si>
    <t>CODE</t>
  </si>
  <si>
    <t>CLASS NAME</t>
  </si>
  <si>
    <t>Other Small Grains</t>
  </si>
  <si>
    <t>Dbl Crop WinWht/Soybeans</t>
  </si>
  <si>
    <t>Millet</t>
  </si>
  <si>
    <t>Speltz</t>
  </si>
  <si>
    <t>Rape Seed</t>
  </si>
  <si>
    <t>Camelina</t>
  </si>
  <si>
    <t>Buckwheat</t>
  </si>
  <si>
    <t>Sugarcane</t>
  </si>
  <si>
    <t>Caneberries</t>
  </si>
  <si>
    <t>Hops</t>
  </si>
  <si>
    <t>Asparagus</t>
  </si>
  <si>
    <t>Avocado</t>
  </si>
  <si>
    <t>Apricots</t>
  </si>
  <si>
    <t>Vetch</t>
  </si>
  <si>
    <t>Dbl Crop Lettuce/Durum Wht</t>
  </si>
  <si>
    <t>Dbl Crop Lettuce/Barley</t>
  </si>
  <si>
    <t>Dbl Crop Durum Wht/Sorghum</t>
  </si>
  <si>
    <t>Dbl Crop Barley/Sorghum</t>
  </si>
  <si>
    <t>Dbl Crop Soybeans/Cotton</t>
  </si>
  <si>
    <t>Dbl Crop Soybeans/Oats</t>
  </si>
  <si>
    <t>Dbl Crop Corn/Soybeans</t>
  </si>
  <si>
    <t>Turnips</t>
  </si>
  <si>
    <t>Eggplants</t>
  </si>
  <si>
    <t>Gourds</t>
  </si>
  <si>
    <t>Cranberries</t>
  </si>
  <si>
    <t>Dbl Crop Barley/Soybeans</t>
  </si>
  <si>
    <t>TAP_475</t>
  </si>
  <si>
    <t>seq</t>
  </si>
  <si>
    <t>sector_label_1</t>
  </si>
  <si>
    <t>Oilseed farming</t>
  </si>
  <si>
    <t>Grain farming</t>
  </si>
  <si>
    <t>Vegetable and melon farming, except potato farming</t>
  </si>
  <si>
    <t>Potato farming, field and seed potato production</t>
  </si>
  <si>
    <t>Fruit and tree nut farming</t>
  </si>
  <si>
    <t>Greenhouse, nursery, and floriculture production</t>
  </si>
  <si>
    <t>Other crop farming, except hay and pasture farming</t>
  </si>
  <si>
    <t>Alfalfa and grass hay farming</t>
  </si>
  <si>
    <t>Pasture farming</t>
  </si>
  <si>
    <t>Dual crop farming and private non-industrial forestry</t>
  </si>
  <si>
    <t>Dual-purpose beef cattle ranching and farming with background herd</t>
  </si>
  <si>
    <t>Dual-purpose beef cattle ranching and farming stocker operations</t>
  </si>
  <si>
    <t>Dairy heifer replacement ranching</t>
  </si>
  <si>
    <t>Cattle feedlots</t>
  </si>
  <si>
    <t>Dairy cattle and milk production</t>
  </si>
  <si>
    <t>Animal production, except cattle, poultry and eggs, and aquaculture</t>
  </si>
  <si>
    <t>Finfish aquaculture farming and fish hatcheries</t>
  </si>
  <si>
    <t>Shellfish aquaculture farming</t>
  </si>
  <si>
    <t>Other aquaculture</t>
  </si>
  <si>
    <t>Hog farming</t>
  </si>
  <si>
    <t>Sheep ranching</t>
  </si>
  <si>
    <t>Poultry and egg production</t>
  </si>
  <si>
    <t>Switchgrass</t>
  </si>
  <si>
    <t>Forest</t>
  </si>
  <si>
    <t>Shrubland</t>
  </si>
  <si>
    <t>Barren</t>
  </si>
  <si>
    <t>Noncult</t>
  </si>
  <si>
    <t>Clouds/No Data</t>
  </si>
  <si>
    <t>Developed</t>
  </si>
  <si>
    <t>Water</t>
  </si>
  <si>
    <t>Wetlands</t>
  </si>
  <si>
    <t>Nonag/Undefined</t>
  </si>
  <si>
    <t>Sales</t>
  </si>
  <si>
    <t>Acres</t>
  </si>
  <si>
    <t>$/acre</t>
  </si>
  <si>
    <t>Field Crop Total</t>
  </si>
  <si>
    <t>Vegetable Total</t>
  </si>
  <si>
    <t>Row Labels</t>
  </si>
  <si>
    <t>Grand Total</t>
  </si>
  <si>
    <t>Sum of Sales</t>
  </si>
  <si>
    <t>Sum of Acres</t>
  </si>
  <si>
    <t>Tapestry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</si>
</sst>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DBBA5F6-5DA4-41AC-A9A7-8B1CD62422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tson, Philip (pwatson@uidaho.edu)" refreshedDate="45499.424088078704" createdVersion="8" refreshedVersion="8" minRefreshableVersion="3" recordCount="119" xr:uid="{9A6CC499-BD16-492F-B822-156C618BC0D4}">
  <cacheSource type="worksheet">
    <worksheetSource ref="A1:F120" sheet="pivottable"/>
  </cacheSource>
  <cacheFields count="6">
    <cacheField name="CODE" numFmtId="0">
      <sharedItems containsSemiMixedTypes="0" containsString="0" containsNumber="1" containsInteger="1" minValue="1" maxValue="254"/>
    </cacheField>
    <cacheField name="CLASS NAME" numFmtId="0">
      <sharedItems/>
    </cacheField>
    <cacheField name="TAP_475" numFmtId="0">
      <sharedItems containsSemiMixedTypes="0" containsString="0" containsNumber="1" containsInteger="1" minValue="0" maxValue="17" count="9">
        <n v="2"/>
        <n v="7"/>
        <n v="1"/>
        <n v="3"/>
        <n v="8"/>
        <n v="4"/>
        <n v="0"/>
        <n v="5"/>
        <n v="17"/>
      </sharedItems>
    </cacheField>
    <cacheField name="Noncult" numFmtId="0">
      <sharedItems containsSemiMixedTypes="0" containsString="0" containsNumber="1" containsInteger="1" minValue="0" maxValue="1"/>
    </cacheField>
    <cacheField name="Sales" numFmtId="0">
      <sharedItems containsString="0" containsBlank="1" containsNumber="1" containsInteger="1" minValue="4230000" maxValue="73886983000"/>
    </cacheField>
    <cacheField name="Acres" numFmtId="0">
      <sharedItems containsString="0" containsBlank="1" containsNumber="1" containsInteger="1" minValue="2420" maxValue="8651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n v="1"/>
    <s v="Corn"/>
    <x v="0"/>
    <n v="0"/>
    <n v="73886983000"/>
    <n v="86513000"/>
  </r>
  <r>
    <n v="2"/>
    <s v="Cotton"/>
    <x v="1"/>
    <n v="0"/>
    <n v="6185950000"/>
    <n v="7289600"/>
  </r>
  <r>
    <n v="3"/>
    <s v="Rice"/>
    <x v="0"/>
    <n v="0"/>
    <n v="3210556000"/>
    <n v="2167000"/>
  </r>
  <r>
    <n v="4"/>
    <s v="Sorghum"/>
    <x v="0"/>
    <n v="0"/>
    <n v="1246906000"/>
    <n v="4570000"/>
  </r>
  <r>
    <n v="5"/>
    <s v="Soybeans"/>
    <x v="2"/>
    <n v="0"/>
    <n v="60695837000"/>
    <n v="86174000"/>
  </r>
  <r>
    <n v="6"/>
    <s v="Sunflower"/>
    <x v="2"/>
    <n v="0"/>
    <n v="763085000"/>
    <n v="1599500"/>
  </r>
  <r>
    <n v="10"/>
    <s v="Peanuts"/>
    <x v="1"/>
    <n v="0"/>
    <n v="1501234000"/>
    <n v="1381400"/>
  </r>
  <r>
    <n v="11"/>
    <s v="Tobacco"/>
    <x v="1"/>
    <n v="0"/>
    <n v="991694000"/>
    <n v="198280"/>
  </r>
  <r>
    <n v="12"/>
    <s v="Sweet Corn"/>
    <x v="3"/>
    <n v="0"/>
    <n v="899733000"/>
    <n v="367600"/>
  </r>
  <r>
    <n v="13"/>
    <s v="Pop or Orn Corn"/>
    <x v="0"/>
    <n v="0"/>
    <m/>
    <m/>
  </r>
  <r>
    <n v="14"/>
    <s v="Mint"/>
    <x v="1"/>
    <n v="0"/>
    <n v="76021000"/>
    <n v="33500"/>
  </r>
  <r>
    <n v="21"/>
    <s v="Barley"/>
    <x v="0"/>
    <n v="0"/>
    <n v="1160718000"/>
    <n v="2425000"/>
  </r>
  <r>
    <n v="22"/>
    <s v="Durum Wheat"/>
    <x v="0"/>
    <n v="0"/>
    <n v="668878000"/>
    <n v="1581000"/>
  </r>
  <r>
    <n v="23"/>
    <s v="Spring Wheat"/>
    <x v="0"/>
    <n v="0"/>
    <n v="4238261000"/>
    <n v="10450000"/>
  </r>
  <r>
    <n v="24"/>
    <s v="Winter Wheat"/>
    <x v="0"/>
    <n v="0"/>
    <n v="9306187000"/>
    <n v="23454000"/>
  </r>
  <r>
    <n v="25"/>
    <s v="Other Small Grains"/>
    <x v="0"/>
    <n v="0"/>
    <m/>
    <m/>
  </r>
  <r>
    <n v="26"/>
    <s v="Dbl Crop WinWht/Soybeans"/>
    <x v="0"/>
    <n v="0"/>
    <m/>
    <m/>
  </r>
  <r>
    <n v="27"/>
    <s v="Rye"/>
    <x v="0"/>
    <n v="0"/>
    <n v="89340000"/>
    <n v="345000"/>
  </r>
  <r>
    <n v="28"/>
    <s v="Oats"/>
    <x v="0"/>
    <n v="0"/>
    <n v="273209000"/>
    <n v="880000"/>
  </r>
  <r>
    <n v="29"/>
    <s v="Millet"/>
    <x v="0"/>
    <n v="0"/>
    <n v="82078000"/>
    <n v="493000"/>
  </r>
  <r>
    <n v="30"/>
    <s v="Speltz"/>
    <x v="0"/>
    <n v="0"/>
    <m/>
    <m/>
  </r>
  <r>
    <n v="31"/>
    <s v="Canola"/>
    <x v="2"/>
    <n v="0"/>
    <n v="1131398000"/>
    <n v="2163700"/>
  </r>
  <r>
    <n v="32"/>
    <s v="Flaxseed"/>
    <x v="2"/>
    <n v="0"/>
    <n v="77047000"/>
    <n v="242000"/>
  </r>
  <r>
    <n v="33"/>
    <s v="Safflower"/>
    <x v="2"/>
    <n v="0"/>
    <n v="47001000"/>
    <n v="126000"/>
  </r>
  <r>
    <n v="34"/>
    <s v="Rape Seed"/>
    <x v="2"/>
    <n v="0"/>
    <n v="4230000"/>
    <n v="10400"/>
  </r>
  <r>
    <n v="35"/>
    <s v="Mustard"/>
    <x v="2"/>
    <n v="0"/>
    <n v="40979000"/>
    <n v="175700"/>
  </r>
  <r>
    <n v="36"/>
    <s v="Alfalfa"/>
    <x v="4"/>
    <n v="0"/>
    <n v="11733134000"/>
    <n v="15153000"/>
  </r>
  <r>
    <n v="37"/>
    <s v="Other Hay/Non Alfalfa"/>
    <x v="4"/>
    <n v="1"/>
    <n v="9789862000"/>
    <n v="33558000"/>
  </r>
  <r>
    <n v="38"/>
    <s v="Camelina"/>
    <x v="2"/>
    <n v="0"/>
    <m/>
    <m/>
  </r>
  <r>
    <n v="39"/>
    <s v="Buckwheat"/>
    <x v="0"/>
    <n v="0"/>
    <m/>
    <m/>
  </r>
  <r>
    <n v="41"/>
    <s v="Sugarbeets"/>
    <x v="1"/>
    <n v="0"/>
    <n v="2129629000"/>
    <n v="1137500"/>
  </r>
  <r>
    <n v="42"/>
    <s v="Dry Beans"/>
    <x v="0"/>
    <n v="0"/>
    <n v="1053714000"/>
    <n v="1219200"/>
  </r>
  <r>
    <n v="43"/>
    <s v="Potatoes"/>
    <x v="5"/>
    <n v="0"/>
    <n v="5166427000"/>
    <n v="918200"/>
  </r>
  <r>
    <n v="44"/>
    <s v="Other Crops"/>
    <x v="1"/>
    <n v="0"/>
    <m/>
    <m/>
  </r>
  <r>
    <n v="45"/>
    <s v="Sugarcane"/>
    <x v="1"/>
    <n v="0"/>
    <n v="1723614000"/>
    <n v="890900"/>
  </r>
  <r>
    <n v="46"/>
    <s v="Sweet Potatoes"/>
    <x v="3"/>
    <n v="0"/>
    <n v="656457000"/>
    <n v="140000"/>
  </r>
  <r>
    <n v="47"/>
    <s v="Misc Vegs &amp; Fruits"/>
    <x v="3"/>
    <n v="0"/>
    <m/>
    <m/>
  </r>
  <r>
    <n v="48"/>
    <s v="Watermelons"/>
    <x v="3"/>
    <n v="0"/>
    <n v="820549000"/>
    <n v="103400"/>
  </r>
  <r>
    <n v="49"/>
    <s v="Onions"/>
    <x v="3"/>
    <n v="0"/>
    <n v="1842922000"/>
    <n v="135000"/>
  </r>
  <r>
    <n v="50"/>
    <s v="Cucumbers"/>
    <x v="3"/>
    <n v="0"/>
    <n v="298928000"/>
    <n v="84500"/>
  </r>
  <r>
    <n v="51"/>
    <s v="Chick Peas"/>
    <x v="0"/>
    <n v="0"/>
    <n v="128134000"/>
    <n v="357400"/>
  </r>
  <r>
    <n v="52"/>
    <s v="Lentils"/>
    <x v="0"/>
    <n v="0"/>
    <n v="189514000"/>
    <n v="619000"/>
  </r>
  <r>
    <n v="53"/>
    <s v="Peas"/>
    <x v="0"/>
    <n v="0"/>
    <n v="231557000"/>
    <n v="888000"/>
  </r>
  <r>
    <n v="54"/>
    <s v="Tomatoes"/>
    <x v="3"/>
    <n v="0"/>
    <n v="1813433000"/>
    <n v="272000"/>
  </r>
  <r>
    <n v="55"/>
    <s v="Caneberries"/>
    <x v="3"/>
    <n v="0"/>
    <m/>
    <m/>
  </r>
  <r>
    <n v="56"/>
    <s v="Hops"/>
    <x v="1"/>
    <n v="0"/>
    <n v="621098000"/>
    <n v="60113"/>
  </r>
  <r>
    <n v="57"/>
    <s v="Herbs"/>
    <x v="1"/>
    <n v="0"/>
    <m/>
    <m/>
  </r>
  <r>
    <n v="58"/>
    <s v="Clover/Wildflowers"/>
    <x v="4"/>
    <n v="0"/>
    <m/>
    <m/>
  </r>
  <r>
    <n v="59"/>
    <s v="Sod/Grass Seed"/>
    <x v="1"/>
    <n v="1"/>
    <m/>
    <m/>
  </r>
  <r>
    <n v="60"/>
    <s v="Switchgrass"/>
    <x v="4"/>
    <n v="1"/>
    <m/>
    <m/>
  </r>
  <r>
    <n v="61"/>
    <s v="Fallow/Idle Cropland"/>
    <x v="6"/>
    <n v="1"/>
    <m/>
    <m/>
  </r>
  <r>
    <n v="63"/>
    <s v="Forest"/>
    <x v="6"/>
    <n v="1"/>
    <m/>
    <m/>
  </r>
  <r>
    <n v="64"/>
    <s v="Shrubland"/>
    <x v="6"/>
    <n v="1"/>
    <m/>
    <m/>
  </r>
  <r>
    <n v="65"/>
    <s v="Barren"/>
    <x v="6"/>
    <n v="1"/>
    <m/>
    <m/>
  </r>
  <r>
    <n v="66"/>
    <s v="Cherries"/>
    <x v="7"/>
    <n v="0"/>
    <n v="690152000"/>
    <n v="86500"/>
  </r>
  <r>
    <n v="67"/>
    <s v="Peaches"/>
    <x v="7"/>
    <n v="0"/>
    <n v="674625000"/>
    <n v="76100"/>
  </r>
  <r>
    <n v="68"/>
    <s v="Apples"/>
    <x v="7"/>
    <n v="0"/>
    <n v="3107472000"/>
    <n v="302300"/>
  </r>
  <r>
    <n v="69"/>
    <s v="Grapes"/>
    <x v="7"/>
    <n v="0"/>
    <n v="996102000"/>
    <n v="899000"/>
  </r>
  <r>
    <n v="70"/>
    <s v="Christmas Trees"/>
    <x v="1"/>
    <n v="0"/>
    <m/>
    <m/>
  </r>
  <r>
    <n v="71"/>
    <s v="Other Tree Crops"/>
    <x v="1"/>
    <n v="0"/>
    <m/>
    <m/>
  </r>
  <r>
    <n v="72"/>
    <s v="Citrus"/>
    <x v="7"/>
    <n v="0"/>
    <n v="1529414000"/>
    <n v="460800"/>
  </r>
  <r>
    <n v="74"/>
    <s v="Pecans"/>
    <x v="7"/>
    <n v="0"/>
    <n v="520177000"/>
    <n v="442000"/>
  </r>
  <r>
    <n v="75"/>
    <s v="Almonds"/>
    <x v="7"/>
    <n v="0"/>
    <n v="3536400000"/>
    <n v="1350000"/>
  </r>
  <r>
    <n v="76"/>
    <s v="Walnuts"/>
    <x v="7"/>
    <n v="0"/>
    <n v="453600000"/>
    <n v="400000"/>
  </r>
  <r>
    <n v="77"/>
    <s v="Pears"/>
    <x v="7"/>
    <n v="0"/>
    <n v="353983000"/>
    <n v="40700"/>
  </r>
  <r>
    <n v="81"/>
    <s v="Clouds/No Data"/>
    <x v="6"/>
    <n v="1"/>
    <m/>
    <m/>
  </r>
  <r>
    <n v="82"/>
    <s v="Developed"/>
    <x v="6"/>
    <n v="1"/>
    <m/>
    <m/>
  </r>
  <r>
    <n v="83"/>
    <s v="Water"/>
    <x v="6"/>
    <n v="1"/>
    <m/>
    <m/>
  </r>
  <r>
    <n v="87"/>
    <s v="Wetlands"/>
    <x v="6"/>
    <n v="1"/>
    <m/>
    <m/>
  </r>
  <r>
    <n v="88"/>
    <s v="Nonag/Undefined"/>
    <x v="6"/>
    <n v="1"/>
    <m/>
    <m/>
  </r>
  <r>
    <n v="92"/>
    <s v="Aquaculture"/>
    <x v="8"/>
    <n v="1"/>
    <m/>
    <m/>
  </r>
  <r>
    <n v="204"/>
    <s v="Pistachios"/>
    <x v="7"/>
    <n v="0"/>
    <n v="1861020000"/>
    <n v="428000"/>
  </r>
  <r>
    <n v="205"/>
    <s v="Triticale"/>
    <x v="0"/>
    <n v="0"/>
    <m/>
    <m/>
  </r>
  <r>
    <n v="206"/>
    <s v="Carrots"/>
    <x v="3"/>
    <n v="0"/>
    <n v="1294955000"/>
    <n v="74500"/>
  </r>
  <r>
    <n v="207"/>
    <s v="Asparagus"/>
    <x v="3"/>
    <n v="0"/>
    <n v="68442000"/>
    <n v="16200"/>
  </r>
  <r>
    <n v="208"/>
    <s v="Garlic"/>
    <x v="3"/>
    <n v="0"/>
    <n v="314288000"/>
    <n v="27800"/>
  </r>
  <r>
    <n v="209"/>
    <s v="Cantaloupes"/>
    <x v="3"/>
    <n v="0"/>
    <n v="384931000"/>
    <n v="45600"/>
  </r>
  <r>
    <n v="210"/>
    <s v="Prunes"/>
    <x v="7"/>
    <n v="0"/>
    <n v="5337000"/>
    <n v="2420"/>
  </r>
  <r>
    <n v="211"/>
    <s v="Olives"/>
    <x v="7"/>
    <n v="0"/>
    <n v="76297000"/>
    <n v="42000"/>
  </r>
  <r>
    <n v="212"/>
    <s v="Oranges"/>
    <x v="7"/>
    <n v="0"/>
    <m/>
    <m/>
  </r>
  <r>
    <n v="213"/>
    <s v="Honeydew Melons"/>
    <x v="3"/>
    <n v="0"/>
    <m/>
    <m/>
  </r>
  <r>
    <n v="214"/>
    <s v="Broccoli"/>
    <x v="3"/>
    <n v="0"/>
    <n v="1132775000"/>
    <n v="127700"/>
  </r>
  <r>
    <n v="215"/>
    <s v="Avocado"/>
    <x v="7"/>
    <n v="0"/>
    <n v="502673000"/>
    <n v="51730"/>
  </r>
  <r>
    <n v="216"/>
    <s v="Peppers"/>
    <x v="3"/>
    <n v="0"/>
    <n v="809004000"/>
    <n v="46000"/>
  </r>
  <r>
    <n v="217"/>
    <s v="Pomegranates"/>
    <x v="7"/>
    <n v="0"/>
    <m/>
    <m/>
  </r>
  <r>
    <n v="218"/>
    <s v="Nectarines"/>
    <x v="7"/>
    <n v="0"/>
    <n v="169366000"/>
    <n v="16300"/>
  </r>
  <r>
    <n v="219"/>
    <s v="Greens"/>
    <x v="3"/>
    <n v="0"/>
    <m/>
    <m/>
  </r>
  <r>
    <n v="220"/>
    <s v="Plums"/>
    <x v="7"/>
    <n v="0"/>
    <m/>
    <m/>
  </r>
  <r>
    <n v="221"/>
    <s v="Strawberries"/>
    <x v="3"/>
    <n v="0"/>
    <n v="3259100000"/>
    <n v="56300"/>
  </r>
  <r>
    <n v="222"/>
    <s v="Squash"/>
    <x v="3"/>
    <n v="0"/>
    <n v="222396000"/>
    <n v="42600"/>
  </r>
  <r>
    <n v="223"/>
    <s v="Apricots"/>
    <x v="7"/>
    <n v="0"/>
    <n v="28311000"/>
    <n v="6290"/>
  </r>
  <r>
    <n v="224"/>
    <s v="Vetch"/>
    <x v="4"/>
    <n v="0"/>
    <m/>
    <m/>
  </r>
  <r>
    <n v="225"/>
    <s v="Dbl Crop WinWht/Corn"/>
    <x v="0"/>
    <n v="0"/>
    <m/>
    <m/>
  </r>
  <r>
    <n v="226"/>
    <s v="Dbl Crop Oats/Corn"/>
    <x v="0"/>
    <n v="0"/>
    <m/>
    <m/>
  </r>
  <r>
    <n v="227"/>
    <s v="Lettuce"/>
    <x v="3"/>
    <n v="0"/>
    <n v="1800731000"/>
    <n v="133500"/>
  </r>
  <r>
    <n v="228"/>
    <s v="Dbl Crop Triticale/Corn"/>
    <x v="0"/>
    <n v="0"/>
    <m/>
    <m/>
  </r>
  <r>
    <n v="229"/>
    <s v="Pumpkins"/>
    <x v="3"/>
    <n v="0"/>
    <n v="286091000"/>
    <n v="71200"/>
  </r>
  <r>
    <n v="230"/>
    <s v="Dbl Crop Lettuce/Durum Wht"/>
    <x v="3"/>
    <n v="0"/>
    <m/>
    <m/>
  </r>
  <r>
    <n v="231"/>
    <s v="Dbl Crop Lettuce/Cantaloupe"/>
    <x v="3"/>
    <n v="0"/>
    <m/>
    <m/>
  </r>
  <r>
    <n v="232"/>
    <s v="Dbl Crop Lettuce/Cotton"/>
    <x v="3"/>
    <n v="0"/>
    <m/>
    <m/>
  </r>
  <r>
    <n v="233"/>
    <s v="Dbl Crop Lettuce/Barley"/>
    <x v="3"/>
    <n v="0"/>
    <m/>
    <m/>
  </r>
  <r>
    <n v="234"/>
    <s v="Dbl Crop Durum Wht/Sorghum"/>
    <x v="0"/>
    <n v="0"/>
    <m/>
    <m/>
  </r>
  <r>
    <n v="235"/>
    <s v="Dbl Crop Barley/Sorghum"/>
    <x v="0"/>
    <n v="0"/>
    <m/>
    <m/>
  </r>
  <r>
    <n v="236"/>
    <s v="Dbl Crop WinWht/Sorghum"/>
    <x v="0"/>
    <n v="0"/>
    <m/>
    <m/>
  </r>
  <r>
    <n v="237"/>
    <s v="Dbl Crop Barley/Corn"/>
    <x v="0"/>
    <n v="0"/>
    <m/>
    <m/>
  </r>
  <r>
    <n v="238"/>
    <s v="Dbl Crop WinWht/Cotton"/>
    <x v="0"/>
    <n v="0"/>
    <m/>
    <m/>
  </r>
  <r>
    <n v="239"/>
    <s v="Dbl Crop Soybeans/Cotton"/>
    <x v="0"/>
    <n v="0"/>
    <m/>
    <m/>
  </r>
  <r>
    <n v="240"/>
    <s v="Dbl Crop Soybeans/Oats"/>
    <x v="0"/>
    <n v="0"/>
    <m/>
    <m/>
  </r>
  <r>
    <n v="241"/>
    <s v="Dbl Crop Corn/Soybeans"/>
    <x v="0"/>
    <n v="0"/>
    <m/>
    <m/>
  </r>
  <r>
    <n v="242"/>
    <s v="Blueberries"/>
    <x v="7"/>
    <n v="0"/>
    <n v="1096115000"/>
    <n v="104900"/>
  </r>
  <r>
    <n v="243"/>
    <s v="Cabbage"/>
    <x v="3"/>
    <n v="0"/>
    <n v="632801000"/>
    <n v="52600"/>
  </r>
  <r>
    <n v="244"/>
    <s v="Cauliflower"/>
    <x v="3"/>
    <n v="0"/>
    <n v="665642000"/>
    <n v="47400"/>
  </r>
  <r>
    <n v="245"/>
    <s v="Celery"/>
    <x v="3"/>
    <n v="0"/>
    <n v="450057000"/>
    <n v="27500"/>
  </r>
  <r>
    <n v="246"/>
    <s v="Radishes"/>
    <x v="3"/>
    <n v="0"/>
    <n v="52851000"/>
    <n v="14800"/>
  </r>
  <r>
    <n v="247"/>
    <s v="Turnips"/>
    <x v="3"/>
    <n v="0"/>
    <m/>
    <m/>
  </r>
  <r>
    <n v="248"/>
    <s v="Eggplants"/>
    <x v="3"/>
    <n v="0"/>
    <n v="21492000"/>
    <n v="2800"/>
  </r>
  <r>
    <n v="249"/>
    <s v="Gourds"/>
    <x v="3"/>
    <n v="0"/>
    <m/>
    <m/>
  </r>
  <r>
    <n v="250"/>
    <s v="Cranberries"/>
    <x v="3"/>
    <n v="0"/>
    <n v="304220000"/>
    <n v="36500"/>
  </r>
  <r>
    <n v="254"/>
    <s v="Dbl Crop Barley/Soybeans"/>
    <x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0CF36-9A0A-4DED-AB51-E23D9842CC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6">
    <pivotField showAll="0"/>
    <pivotField showAll="0"/>
    <pivotField axis="axisRow" showAll="0">
      <items count="10">
        <item x="6"/>
        <item x="2"/>
        <item x="0"/>
        <item x="3"/>
        <item x="5"/>
        <item x="7"/>
        <item x="1"/>
        <item x="4"/>
        <item x="8"/>
        <item t="default"/>
      </items>
    </pivotField>
    <pivotField showAll="0"/>
    <pivotField dataField="1" showAll="0"/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Acr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820F-5AA3-4B1B-A9B5-0B60DF623415}">
  <dimension ref="A1:M122"/>
  <sheetViews>
    <sheetView topLeftCell="A45" workbookViewId="0">
      <selection sqref="A1:F120"/>
    </sheetView>
  </sheetViews>
  <sheetFormatPr defaultRowHeight="15"/>
  <cols>
    <col min="2" max="2" width="28" bestFit="1" customWidth="1"/>
    <col min="5" max="5" width="14.85546875" bestFit="1" customWidth="1"/>
    <col min="6" max="6" width="13.85546875" bestFit="1" customWidth="1"/>
    <col min="7" max="7" width="9.140625" style="9"/>
    <col min="10" max="10" width="14.85546875" bestFit="1" customWidth="1"/>
    <col min="11" max="11" width="15.7109375" bestFit="1" customWidth="1"/>
    <col min="12" max="12" width="11.140625" bestFit="1" customWidth="1"/>
    <col min="13" max="13" width="9.140625" style="9"/>
  </cols>
  <sheetData>
    <row r="1" spans="1:13">
      <c r="A1" s="1" t="s">
        <v>84</v>
      </c>
      <c r="B1" t="s">
        <v>85</v>
      </c>
      <c r="C1" t="s">
        <v>112</v>
      </c>
      <c r="D1" t="s">
        <v>141</v>
      </c>
      <c r="E1" t="s">
        <v>147</v>
      </c>
      <c r="F1" t="s">
        <v>148</v>
      </c>
      <c r="G1" s="9" t="s">
        <v>149</v>
      </c>
      <c r="K1" t="s">
        <v>147</v>
      </c>
      <c r="L1" t="s">
        <v>148</v>
      </c>
      <c r="M1" s="9" t="s">
        <v>149</v>
      </c>
    </row>
    <row r="2" spans="1:13">
      <c r="A2" s="1">
        <v>1</v>
      </c>
      <c r="B2" t="s">
        <v>0</v>
      </c>
      <c r="C2">
        <v>2</v>
      </c>
      <c r="D2">
        <v>0</v>
      </c>
      <c r="E2" s="2">
        <v>73886983000</v>
      </c>
      <c r="F2" s="2">
        <v>86513000</v>
      </c>
      <c r="G2" s="9">
        <f t="shared" ref="G2:G10" si="0">E2/F2</f>
        <v>854.05641926646865</v>
      </c>
      <c r="J2" t="s">
        <v>150</v>
      </c>
      <c r="K2" s="2">
        <v>216715128000</v>
      </c>
      <c r="L2" s="2">
        <v>284510000</v>
      </c>
      <c r="M2" s="9">
        <f>K2/L2</f>
        <v>761.7135707005026</v>
      </c>
    </row>
    <row r="3" spans="1:13">
      <c r="A3" s="1">
        <v>2</v>
      </c>
      <c r="B3" t="s">
        <v>1</v>
      </c>
      <c r="C3">
        <v>7</v>
      </c>
      <c r="D3">
        <v>0</v>
      </c>
      <c r="E3" s="2">
        <v>6185950000</v>
      </c>
      <c r="F3" s="2">
        <v>7289600</v>
      </c>
      <c r="G3" s="9">
        <f t="shared" si="0"/>
        <v>848.59937445127309</v>
      </c>
      <c r="J3" t="s">
        <v>151</v>
      </c>
      <c r="K3" s="2">
        <v>18853605000</v>
      </c>
      <c r="L3" s="2">
        <v>2395900</v>
      </c>
      <c r="M3" s="9">
        <f>K3/L3</f>
        <v>7869.1118160190326</v>
      </c>
    </row>
    <row r="4" spans="1:13">
      <c r="A4" s="1">
        <v>3</v>
      </c>
      <c r="B4" t="s">
        <v>2</v>
      </c>
      <c r="C4">
        <v>2</v>
      </c>
      <c r="D4">
        <v>0</v>
      </c>
      <c r="E4" s="2">
        <v>3210556000</v>
      </c>
      <c r="F4" s="2">
        <v>2167000</v>
      </c>
      <c r="G4" s="9">
        <f t="shared" si="0"/>
        <v>1481.5671435163822</v>
      </c>
    </row>
    <row r="5" spans="1:13">
      <c r="A5" s="1">
        <v>4</v>
      </c>
      <c r="B5" t="s">
        <v>3</v>
      </c>
      <c r="C5">
        <v>2</v>
      </c>
      <c r="D5">
        <v>0</v>
      </c>
      <c r="E5" s="2">
        <v>1246906000</v>
      </c>
      <c r="F5" s="2">
        <v>4570000</v>
      </c>
      <c r="G5" s="9">
        <f t="shared" si="0"/>
        <v>272.84595185995624</v>
      </c>
    </row>
    <row r="6" spans="1:13">
      <c r="A6" s="1">
        <v>5</v>
      </c>
      <c r="B6" t="s">
        <v>81</v>
      </c>
      <c r="C6">
        <v>1</v>
      </c>
      <c r="D6">
        <v>0</v>
      </c>
      <c r="E6" s="2">
        <v>60695837000</v>
      </c>
      <c r="F6" s="2">
        <v>86174000</v>
      </c>
      <c r="G6" s="9">
        <f t="shared" si="0"/>
        <v>704.340485529278</v>
      </c>
    </row>
    <row r="7" spans="1:13">
      <c r="A7" s="1">
        <v>6</v>
      </c>
      <c r="B7" t="s">
        <v>4</v>
      </c>
      <c r="C7">
        <v>1</v>
      </c>
      <c r="D7">
        <v>0</v>
      </c>
      <c r="E7" s="2">
        <v>763085000</v>
      </c>
      <c r="F7" s="2">
        <v>1599500</v>
      </c>
      <c r="G7" s="9">
        <f t="shared" si="0"/>
        <v>477.07721162863396</v>
      </c>
    </row>
    <row r="8" spans="1:13">
      <c r="A8" s="1">
        <v>10</v>
      </c>
      <c r="B8" t="s">
        <v>83</v>
      </c>
      <c r="C8">
        <v>7</v>
      </c>
      <c r="D8">
        <v>0</v>
      </c>
      <c r="E8" s="2">
        <v>1501234000</v>
      </c>
      <c r="F8" s="2">
        <v>1381400</v>
      </c>
      <c r="G8" s="9">
        <f t="shared" si="0"/>
        <v>1086.748226436948</v>
      </c>
    </row>
    <row r="9" spans="1:13">
      <c r="A9" s="1">
        <v>11</v>
      </c>
      <c r="B9" t="s">
        <v>82</v>
      </c>
      <c r="C9">
        <v>7</v>
      </c>
      <c r="D9">
        <v>0</v>
      </c>
      <c r="E9" s="2">
        <v>991694000</v>
      </c>
      <c r="F9" s="2">
        <v>198280</v>
      </c>
      <c r="G9" s="9">
        <f t="shared" si="0"/>
        <v>5001.4827516643127</v>
      </c>
    </row>
    <row r="10" spans="1:13">
      <c r="A10" s="1">
        <v>12</v>
      </c>
      <c r="B10" t="s">
        <v>5</v>
      </c>
      <c r="C10">
        <v>3</v>
      </c>
      <c r="D10">
        <v>0</v>
      </c>
      <c r="E10" s="2">
        <v>899733000</v>
      </c>
      <c r="F10" s="2">
        <v>367600</v>
      </c>
      <c r="G10" s="9">
        <f t="shared" si="0"/>
        <v>2447.5870511425464</v>
      </c>
    </row>
    <row r="11" spans="1:13">
      <c r="A11" s="1">
        <v>13</v>
      </c>
      <c r="B11" t="s">
        <v>6</v>
      </c>
      <c r="C11">
        <v>2</v>
      </c>
      <c r="D11">
        <v>0</v>
      </c>
      <c r="G11" s="9">
        <f>E2/F2</f>
        <v>854.05641926646865</v>
      </c>
    </row>
    <row r="12" spans="1:13">
      <c r="A12" s="1">
        <v>14</v>
      </c>
      <c r="B12" t="s">
        <v>7</v>
      </c>
      <c r="C12">
        <v>7</v>
      </c>
      <c r="D12">
        <v>0</v>
      </c>
      <c r="E12" s="2">
        <v>76021000</v>
      </c>
      <c r="F12" s="2">
        <v>33500</v>
      </c>
      <c r="G12" s="9">
        <f>E12/F12</f>
        <v>2269.2835820895521</v>
      </c>
    </row>
    <row r="13" spans="1:13">
      <c r="A13" s="1">
        <v>21</v>
      </c>
      <c r="B13" t="s">
        <v>8</v>
      </c>
      <c r="C13">
        <v>2</v>
      </c>
      <c r="D13">
        <v>0</v>
      </c>
      <c r="E13" s="2">
        <v>1160718000</v>
      </c>
      <c r="F13" s="2">
        <v>2425000</v>
      </c>
      <c r="G13" s="9">
        <f>E13/F13</f>
        <v>478.64659793814434</v>
      </c>
    </row>
    <row r="14" spans="1:13">
      <c r="A14" s="1">
        <v>22</v>
      </c>
      <c r="B14" t="s">
        <v>9</v>
      </c>
      <c r="C14">
        <v>2</v>
      </c>
      <c r="D14">
        <v>0</v>
      </c>
      <c r="E14" s="2">
        <v>668878000</v>
      </c>
      <c r="F14" s="2">
        <v>1581000</v>
      </c>
      <c r="G14" s="9">
        <f>E14/F14</f>
        <v>423.07273877292852</v>
      </c>
    </row>
    <row r="15" spans="1:13">
      <c r="A15" s="1">
        <v>23</v>
      </c>
      <c r="B15" t="s">
        <v>10</v>
      </c>
      <c r="C15">
        <v>2</v>
      </c>
      <c r="D15">
        <v>0</v>
      </c>
      <c r="E15" s="2">
        <v>4238261000</v>
      </c>
      <c r="F15" s="2">
        <v>10450000</v>
      </c>
      <c r="G15" s="9">
        <f>E15/F15</f>
        <v>405.5752153110048</v>
      </c>
    </row>
    <row r="16" spans="1:13">
      <c r="A16" s="1">
        <v>24</v>
      </c>
      <c r="B16" t="s">
        <v>11</v>
      </c>
      <c r="C16">
        <v>2</v>
      </c>
      <c r="D16">
        <v>0</v>
      </c>
      <c r="E16" s="2">
        <v>9306187000</v>
      </c>
      <c r="F16" s="2">
        <v>23454000</v>
      </c>
      <c r="G16" s="9">
        <f>E16/F16</f>
        <v>396.78464227850259</v>
      </c>
    </row>
    <row r="17" spans="1:7">
      <c r="A17" s="1">
        <v>25</v>
      </c>
      <c r="B17" t="s">
        <v>86</v>
      </c>
      <c r="C17">
        <v>2</v>
      </c>
      <c r="D17">
        <v>0</v>
      </c>
      <c r="G17" s="9">
        <f>E16/F16</f>
        <v>396.78464227850259</v>
      </c>
    </row>
    <row r="18" spans="1:7">
      <c r="A18" s="1">
        <v>26</v>
      </c>
      <c r="B18" t="s">
        <v>87</v>
      </c>
      <c r="C18">
        <v>2</v>
      </c>
      <c r="D18">
        <v>0</v>
      </c>
      <c r="G18" s="9">
        <f>M2</f>
        <v>761.7135707005026</v>
      </c>
    </row>
    <row r="19" spans="1:7">
      <c r="A19" s="1">
        <v>27</v>
      </c>
      <c r="B19" t="s">
        <v>12</v>
      </c>
      <c r="C19">
        <v>2</v>
      </c>
      <c r="D19">
        <v>0</v>
      </c>
      <c r="E19" s="2">
        <v>89340000</v>
      </c>
      <c r="F19" s="2">
        <v>345000</v>
      </c>
      <c r="G19" s="9">
        <f>E19/F19</f>
        <v>258.95652173913044</v>
      </c>
    </row>
    <row r="20" spans="1:7">
      <c r="A20" s="1">
        <v>28</v>
      </c>
      <c r="B20" t="s">
        <v>13</v>
      </c>
      <c r="C20">
        <v>2</v>
      </c>
      <c r="D20">
        <v>0</v>
      </c>
      <c r="E20" s="2">
        <v>273209000</v>
      </c>
      <c r="F20" s="2">
        <v>880000</v>
      </c>
      <c r="G20" s="9">
        <f>E20/F20</f>
        <v>310.4647727272727</v>
      </c>
    </row>
    <row r="21" spans="1:7">
      <c r="A21" s="1">
        <v>29</v>
      </c>
      <c r="B21" t="s">
        <v>88</v>
      </c>
      <c r="C21">
        <v>2</v>
      </c>
      <c r="D21">
        <v>0</v>
      </c>
      <c r="E21" s="2">
        <v>82078000</v>
      </c>
      <c r="F21" s="2">
        <v>493000</v>
      </c>
      <c r="G21" s="9">
        <f>E21/F21</f>
        <v>166.4868154158215</v>
      </c>
    </row>
    <row r="22" spans="1:7">
      <c r="A22" s="1">
        <v>30</v>
      </c>
      <c r="B22" t="s">
        <v>89</v>
      </c>
      <c r="C22">
        <v>2</v>
      </c>
      <c r="D22">
        <v>0</v>
      </c>
      <c r="G22" s="9">
        <f>E14/F14</f>
        <v>423.07273877292852</v>
      </c>
    </row>
    <row r="23" spans="1:7">
      <c r="A23" s="1">
        <v>31</v>
      </c>
      <c r="B23" t="s">
        <v>14</v>
      </c>
      <c r="C23">
        <v>1</v>
      </c>
      <c r="D23">
        <v>0</v>
      </c>
      <c r="E23" s="2">
        <v>1131398000</v>
      </c>
      <c r="F23" s="2">
        <v>2163700</v>
      </c>
      <c r="G23" s="9">
        <f t="shared" ref="G23:G29" si="1">E23/F23</f>
        <v>522.89966261496511</v>
      </c>
    </row>
    <row r="24" spans="1:7">
      <c r="A24" s="1">
        <v>32</v>
      </c>
      <c r="B24" t="s">
        <v>15</v>
      </c>
      <c r="C24">
        <v>1</v>
      </c>
      <c r="D24">
        <v>0</v>
      </c>
      <c r="E24" s="2">
        <v>77047000</v>
      </c>
      <c r="F24" s="2">
        <v>242000</v>
      </c>
      <c r="G24" s="9">
        <f t="shared" si="1"/>
        <v>318.37603305785126</v>
      </c>
    </row>
    <row r="25" spans="1:7">
      <c r="A25" s="1">
        <v>33</v>
      </c>
      <c r="B25" t="s">
        <v>16</v>
      </c>
      <c r="C25">
        <v>1</v>
      </c>
      <c r="D25">
        <v>0</v>
      </c>
      <c r="E25" s="2">
        <v>47001000</v>
      </c>
      <c r="F25" s="2">
        <v>126000</v>
      </c>
      <c r="G25" s="9">
        <f t="shared" si="1"/>
        <v>373.02380952380952</v>
      </c>
    </row>
    <row r="26" spans="1:7">
      <c r="A26" s="1">
        <v>34</v>
      </c>
      <c r="B26" t="s">
        <v>90</v>
      </c>
      <c r="C26">
        <v>1</v>
      </c>
      <c r="D26">
        <v>0</v>
      </c>
      <c r="E26" s="2">
        <v>4230000</v>
      </c>
      <c r="F26" s="2">
        <v>10400</v>
      </c>
      <c r="G26" s="9">
        <f t="shared" si="1"/>
        <v>406.73076923076923</v>
      </c>
    </row>
    <row r="27" spans="1:7">
      <c r="A27" s="1">
        <v>35</v>
      </c>
      <c r="B27" t="s">
        <v>17</v>
      </c>
      <c r="C27">
        <v>1</v>
      </c>
      <c r="D27">
        <v>0</v>
      </c>
      <c r="E27" s="2">
        <v>40979000</v>
      </c>
      <c r="F27" s="2">
        <v>175700</v>
      </c>
      <c r="G27" s="9">
        <f t="shared" si="1"/>
        <v>233.23278315310188</v>
      </c>
    </row>
    <row r="28" spans="1:7">
      <c r="A28" s="1">
        <v>36</v>
      </c>
      <c r="B28" t="s">
        <v>18</v>
      </c>
      <c r="C28">
        <v>8</v>
      </c>
      <c r="D28">
        <v>0</v>
      </c>
      <c r="E28" s="2">
        <v>11733134000</v>
      </c>
      <c r="F28" s="2">
        <v>15153000</v>
      </c>
      <c r="G28" s="9">
        <f t="shared" si="1"/>
        <v>774.31096152577049</v>
      </c>
    </row>
    <row r="29" spans="1:7">
      <c r="A29" s="1">
        <v>37</v>
      </c>
      <c r="B29" s="1" t="s">
        <v>19</v>
      </c>
      <c r="C29">
        <v>8</v>
      </c>
      <c r="D29">
        <v>1</v>
      </c>
      <c r="E29" s="2">
        <v>9789862000</v>
      </c>
      <c r="F29" s="2">
        <v>33558000</v>
      </c>
      <c r="G29" s="9">
        <f t="shared" si="1"/>
        <v>291.72960247928961</v>
      </c>
    </row>
    <row r="30" spans="1:7">
      <c r="A30" s="1">
        <v>38</v>
      </c>
      <c r="B30" t="s">
        <v>91</v>
      </c>
      <c r="C30">
        <v>1</v>
      </c>
      <c r="D30">
        <v>0</v>
      </c>
      <c r="G30" s="9">
        <f>M2</f>
        <v>761.7135707005026</v>
      </c>
    </row>
    <row r="31" spans="1:7">
      <c r="A31" s="1">
        <v>39</v>
      </c>
      <c r="B31" t="s">
        <v>92</v>
      </c>
      <c r="C31">
        <v>2</v>
      </c>
      <c r="D31">
        <v>0</v>
      </c>
      <c r="G31" s="9">
        <f>M2</f>
        <v>761.7135707005026</v>
      </c>
    </row>
    <row r="32" spans="1:7">
      <c r="A32" s="1">
        <v>41</v>
      </c>
      <c r="B32" t="s">
        <v>20</v>
      </c>
      <c r="C32">
        <v>7</v>
      </c>
      <c r="D32">
        <v>0</v>
      </c>
      <c r="E32" s="2">
        <v>2129629000</v>
      </c>
      <c r="F32" s="2">
        <v>1137500</v>
      </c>
      <c r="G32" s="9">
        <f>E32/F32</f>
        <v>1872.2013186813188</v>
      </c>
    </row>
    <row r="33" spans="1:12">
      <c r="A33" s="1">
        <v>42</v>
      </c>
      <c r="B33" t="s">
        <v>21</v>
      </c>
      <c r="C33">
        <v>2</v>
      </c>
      <c r="D33">
        <v>0</v>
      </c>
      <c r="E33" s="2">
        <v>1053714000</v>
      </c>
      <c r="F33" s="2">
        <v>1219200</v>
      </c>
      <c r="G33" s="9">
        <f>E33/F33</f>
        <v>864.26673228346453</v>
      </c>
    </row>
    <row r="34" spans="1:12">
      <c r="A34" s="1">
        <v>43</v>
      </c>
      <c r="B34" t="s">
        <v>22</v>
      </c>
      <c r="C34">
        <v>4</v>
      </c>
      <c r="D34">
        <v>0</v>
      </c>
      <c r="E34" s="2">
        <v>5166427000</v>
      </c>
      <c r="F34" s="2">
        <v>918200</v>
      </c>
      <c r="G34" s="9">
        <f>E34/F34</f>
        <v>5626.6902635591377</v>
      </c>
    </row>
    <row r="35" spans="1:12">
      <c r="A35" s="1">
        <v>44</v>
      </c>
      <c r="B35" t="s">
        <v>23</v>
      </c>
      <c r="C35">
        <v>7</v>
      </c>
      <c r="D35">
        <v>0</v>
      </c>
      <c r="G35" s="9">
        <f>M2</f>
        <v>761.7135707005026</v>
      </c>
    </row>
    <row r="36" spans="1:12">
      <c r="A36" s="1">
        <v>45</v>
      </c>
      <c r="B36" t="s">
        <v>93</v>
      </c>
      <c r="C36">
        <v>7</v>
      </c>
      <c r="D36">
        <v>0</v>
      </c>
      <c r="E36" s="2">
        <v>1723614000</v>
      </c>
      <c r="F36" s="2">
        <v>890900</v>
      </c>
      <c r="G36" s="9">
        <f>E36/F36</f>
        <v>1934.6885172297677</v>
      </c>
    </row>
    <row r="37" spans="1:12">
      <c r="A37" s="1">
        <v>46</v>
      </c>
      <c r="B37" t="s">
        <v>24</v>
      </c>
      <c r="C37">
        <v>3</v>
      </c>
      <c r="D37">
        <v>0</v>
      </c>
      <c r="E37" s="2">
        <v>656457000</v>
      </c>
      <c r="F37" s="2">
        <v>140000</v>
      </c>
      <c r="G37" s="9">
        <f>E37/F37</f>
        <v>4688.9785714285717</v>
      </c>
    </row>
    <row r="38" spans="1:12">
      <c r="A38" s="1">
        <v>47</v>
      </c>
      <c r="B38" t="s">
        <v>25</v>
      </c>
      <c r="C38">
        <v>3</v>
      </c>
      <c r="D38">
        <v>0</v>
      </c>
      <c r="G38" s="9">
        <f>M2</f>
        <v>761.7135707005026</v>
      </c>
    </row>
    <row r="39" spans="1:12">
      <c r="A39" s="1">
        <v>48</v>
      </c>
      <c r="B39" t="s">
        <v>26</v>
      </c>
      <c r="C39">
        <v>3</v>
      </c>
      <c r="D39">
        <v>0</v>
      </c>
      <c r="E39" s="2">
        <v>820549000</v>
      </c>
      <c r="F39" s="2">
        <v>103400</v>
      </c>
      <c r="G39" s="9">
        <f t="shared" ref="G39:G45" si="2">E39/F39</f>
        <v>7935.6769825918764</v>
      </c>
    </row>
    <row r="40" spans="1:12">
      <c r="A40" s="1">
        <v>49</v>
      </c>
      <c r="B40" t="s">
        <v>27</v>
      </c>
      <c r="C40">
        <v>3</v>
      </c>
      <c r="D40">
        <v>0</v>
      </c>
      <c r="E40" s="2">
        <v>1842922000</v>
      </c>
      <c r="F40" s="2">
        <v>135000</v>
      </c>
      <c r="G40" s="9">
        <f t="shared" si="2"/>
        <v>13651.274074074074</v>
      </c>
      <c r="K40" s="2"/>
      <c r="L40" s="2"/>
    </row>
    <row r="41" spans="1:12">
      <c r="A41" s="1">
        <v>50</v>
      </c>
      <c r="B41" t="s">
        <v>28</v>
      </c>
      <c r="C41">
        <v>3</v>
      </c>
      <c r="D41">
        <v>0</v>
      </c>
      <c r="E41" s="2">
        <v>298928000</v>
      </c>
      <c r="F41" s="2">
        <v>84500</v>
      </c>
      <c r="G41" s="9">
        <f t="shared" si="2"/>
        <v>3537.6094674556211</v>
      </c>
      <c r="L41" s="2"/>
    </row>
    <row r="42" spans="1:12">
      <c r="A42" s="1">
        <v>51</v>
      </c>
      <c r="B42" t="s">
        <v>29</v>
      </c>
      <c r="C42">
        <v>2</v>
      </c>
      <c r="D42">
        <v>0</v>
      </c>
      <c r="E42" s="2">
        <v>128134000</v>
      </c>
      <c r="F42" s="2">
        <v>357400</v>
      </c>
      <c r="G42" s="9">
        <f t="shared" si="2"/>
        <v>358.51706771124788</v>
      </c>
    </row>
    <row r="43" spans="1:12">
      <c r="A43" s="1">
        <v>52</v>
      </c>
      <c r="B43" t="s">
        <v>30</v>
      </c>
      <c r="C43">
        <v>2</v>
      </c>
      <c r="D43">
        <v>0</v>
      </c>
      <c r="E43" s="2">
        <v>189514000</v>
      </c>
      <c r="F43" s="2">
        <v>619000</v>
      </c>
      <c r="G43" s="9">
        <f t="shared" si="2"/>
        <v>306.16155088852986</v>
      </c>
    </row>
    <row r="44" spans="1:12">
      <c r="A44" s="1">
        <v>53</v>
      </c>
      <c r="B44" t="s">
        <v>31</v>
      </c>
      <c r="C44">
        <v>2</v>
      </c>
      <c r="D44">
        <v>0</v>
      </c>
      <c r="E44" s="2">
        <v>231557000</v>
      </c>
      <c r="F44" s="2">
        <v>888000</v>
      </c>
      <c r="G44" s="9">
        <f t="shared" si="2"/>
        <v>260.76238738738738</v>
      </c>
    </row>
    <row r="45" spans="1:12">
      <c r="A45" s="1">
        <v>54</v>
      </c>
      <c r="B45" t="s">
        <v>32</v>
      </c>
      <c r="C45">
        <v>3</v>
      </c>
      <c r="D45">
        <v>0</v>
      </c>
      <c r="E45" s="2">
        <v>1813433000</v>
      </c>
      <c r="F45" s="2">
        <v>272000</v>
      </c>
      <c r="G45" s="9">
        <f t="shared" si="2"/>
        <v>6667.0330882352937</v>
      </c>
    </row>
    <row r="46" spans="1:12">
      <c r="A46" s="1">
        <v>55</v>
      </c>
      <c r="B46" t="s">
        <v>94</v>
      </c>
      <c r="C46">
        <v>3</v>
      </c>
      <c r="D46">
        <v>0</v>
      </c>
      <c r="G46" s="9">
        <f>M2</f>
        <v>761.7135707005026</v>
      </c>
    </row>
    <row r="47" spans="1:12">
      <c r="A47" s="1">
        <v>56</v>
      </c>
      <c r="B47" t="s">
        <v>95</v>
      </c>
      <c r="C47">
        <v>7</v>
      </c>
      <c r="D47">
        <v>0</v>
      </c>
      <c r="E47" s="2">
        <v>621098000</v>
      </c>
      <c r="F47" s="2">
        <v>60113</v>
      </c>
      <c r="G47" s="9">
        <f>E47/F47</f>
        <v>10332.174404870826</v>
      </c>
    </row>
    <row r="48" spans="1:12">
      <c r="A48" s="1">
        <v>57</v>
      </c>
      <c r="B48" t="s">
        <v>33</v>
      </c>
      <c r="C48">
        <v>7</v>
      </c>
      <c r="D48">
        <v>0</v>
      </c>
      <c r="G48" s="9">
        <f>$M$2</f>
        <v>761.7135707005026</v>
      </c>
    </row>
    <row r="49" spans="1:7">
      <c r="A49" s="1">
        <v>58</v>
      </c>
      <c r="B49" t="s">
        <v>34</v>
      </c>
      <c r="C49">
        <v>8</v>
      </c>
      <c r="D49">
        <v>0</v>
      </c>
      <c r="G49" s="9">
        <f t="shared" ref="G49:G55" si="3">$M$2</f>
        <v>761.7135707005026</v>
      </c>
    </row>
    <row r="50" spans="1:7">
      <c r="A50" s="1">
        <v>59</v>
      </c>
      <c r="B50" t="s">
        <v>35</v>
      </c>
      <c r="C50">
        <v>7</v>
      </c>
      <c r="D50">
        <v>1</v>
      </c>
      <c r="G50" s="9">
        <f t="shared" si="3"/>
        <v>761.7135707005026</v>
      </c>
    </row>
    <row r="51" spans="1:7">
      <c r="A51" s="1">
        <v>60</v>
      </c>
      <c r="B51" t="s">
        <v>137</v>
      </c>
      <c r="C51">
        <v>8</v>
      </c>
      <c r="D51">
        <v>1</v>
      </c>
      <c r="G51" s="9">
        <f t="shared" si="3"/>
        <v>761.7135707005026</v>
      </c>
    </row>
    <row r="52" spans="1:7">
      <c r="A52" s="1">
        <v>61</v>
      </c>
      <c r="B52" t="s">
        <v>36</v>
      </c>
      <c r="C52">
        <v>0</v>
      </c>
      <c r="D52">
        <v>1</v>
      </c>
      <c r="G52" s="9">
        <f t="shared" si="3"/>
        <v>761.7135707005026</v>
      </c>
    </row>
    <row r="53" spans="1:7">
      <c r="A53" s="1">
        <v>63</v>
      </c>
      <c r="B53" s="1" t="s">
        <v>138</v>
      </c>
      <c r="C53">
        <v>0</v>
      </c>
      <c r="D53">
        <v>1</v>
      </c>
      <c r="G53" s="9">
        <f t="shared" si="3"/>
        <v>761.7135707005026</v>
      </c>
    </row>
    <row r="54" spans="1:7">
      <c r="A54" s="1">
        <v>64</v>
      </c>
      <c r="B54" t="s">
        <v>139</v>
      </c>
      <c r="C54">
        <v>0</v>
      </c>
      <c r="D54">
        <v>1</v>
      </c>
      <c r="G54" s="9">
        <f t="shared" si="3"/>
        <v>761.7135707005026</v>
      </c>
    </row>
    <row r="55" spans="1:7">
      <c r="A55" s="1">
        <v>65</v>
      </c>
      <c r="B55" t="s">
        <v>140</v>
      </c>
      <c r="C55">
        <v>0</v>
      </c>
      <c r="D55">
        <v>1</v>
      </c>
      <c r="G55" s="9">
        <f t="shared" si="3"/>
        <v>761.7135707005026</v>
      </c>
    </row>
    <row r="56" spans="1:7">
      <c r="A56" s="1">
        <v>66</v>
      </c>
      <c r="B56" t="s">
        <v>37</v>
      </c>
      <c r="C56">
        <v>5</v>
      </c>
      <c r="D56">
        <v>0</v>
      </c>
      <c r="E56" s="2">
        <v>690152000</v>
      </c>
      <c r="F56" s="2">
        <v>86500</v>
      </c>
      <c r="G56" s="9">
        <f>E56/F56</f>
        <v>7978.6358381502887</v>
      </c>
    </row>
    <row r="57" spans="1:7">
      <c r="A57" s="1">
        <v>67</v>
      </c>
      <c r="B57" t="s">
        <v>38</v>
      </c>
      <c r="C57">
        <v>5</v>
      </c>
      <c r="D57">
        <v>0</v>
      </c>
      <c r="E57" s="2">
        <v>674625000</v>
      </c>
      <c r="F57" s="2">
        <v>76100</v>
      </c>
      <c r="G57" s="9">
        <f>E57/F57</f>
        <v>8864.9802890932988</v>
      </c>
    </row>
    <row r="58" spans="1:7">
      <c r="A58" s="1">
        <v>68</v>
      </c>
      <c r="B58" t="s">
        <v>39</v>
      </c>
      <c r="C58">
        <v>5</v>
      </c>
      <c r="D58">
        <v>0</v>
      </c>
      <c r="E58" s="2">
        <v>3107472000</v>
      </c>
      <c r="F58" s="2">
        <v>302300</v>
      </c>
      <c r="G58" s="9">
        <f t="shared" ref="G58:G59" si="4">E58/F58</f>
        <v>10279.431028779358</v>
      </c>
    </row>
    <row r="59" spans="1:7">
      <c r="A59" s="1">
        <v>69</v>
      </c>
      <c r="B59" t="s">
        <v>40</v>
      </c>
      <c r="C59">
        <v>5</v>
      </c>
      <c r="D59">
        <v>0</v>
      </c>
      <c r="E59" s="2">
        <v>996102000</v>
      </c>
      <c r="F59" s="2">
        <v>899000</v>
      </c>
      <c r="G59" s="9">
        <f t="shared" si="4"/>
        <v>1108.0111234705228</v>
      </c>
    </row>
    <row r="60" spans="1:7">
      <c r="A60" s="1">
        <v>70</v>
      </c>
      <c r="B60" t="s">
        <v>41</v>
      </c>
      <c r="C60">
        <v>7</v>
      </c>
      <c r="D60">
        <v>0</v>
      </c>
      <c r="G60" s="9">
        <f>$M$2</f>
        <v>761.7135707005026</v>
      </c>
    </row>
    <row r="61" spans="1:7">
      <c r="A61" s="1">
        <v>71</v>
      </c>
      <c r="B61" t="s">
        <v>42</v>
      </c>
      <c r="C61">
        <v>7</v>
      </c>
      <c r="D61">
        <v>0</v>
      </c>
      <c r="G61" s="9">
        <f>$M$2</f>
        <v>761.7135707005026</v>
      </c>
    </row>
    <row r="62" spans="1:7">
      <c r="A62" s="1">
        <v>72</v>
      </c>
      <c r="B62" t="s">
        <v>43</v>
      </c>
      <c r="C62">
        <v>5</v>
      </c>
      <c r="D62">
        <v>0</v>
      </c>
      <c r="E62" s="2">
        <v>1529414000</v>
      </c>
      <c r="F62" s="2">
        <v>460800</v>
      </c>
      <c r="G62" s="9">
        <f t="shared" ref="G62:G66" si="5">E62/F62</f>
        <v>3319.0407986111113</v>
      </c>
    </row>
    <row r="63" spans="1:7">
      <c r="A63" s="1">
        <v>74</v>
      </c>
      <c r="B63" t="s">
        <v>44</v>
      </c>
      <c r="C63">
        <v>5</v>
      </c>
      <c r="D63">
        <v>0</v>
      </c>
      <c r="E63" s="2">
        <v>520177000</v>
      </c>
      <c r="F63" s="2">
        <v>442000</v>
      </c>
      <c r="G63" s="9">
        <f t="shared" si="5"/>
        <v>1176.8710407239819</v>
      </c>
    </row>
    <row r="64" spans="1:7">
      <c r="A64" s="1">
        <v>75</v>
      </c>
      <c r="B64" t="s">
        <v>45</v>
      </c>
      <c r="C64">
        <v>5</v>
      </c>
      <c r="D64">
        <v>0</v>
      </c>
      <c r="E64" s="2">
        <v>3536400000</v>
      </c>
      <c r="F64" s="2">
        <v>1350000</v>
      </c>
      <c r="G64" s="9">
        <f t="shared" si="5"/>
        <v>2619.5555555555557</v>
      </c>
    </row>
    <row r="65" spans="1:7">
      <c r="A65" s="1">
        <v>76</v>
      </c>
      <c r="B65" t="s">
        <v>46</v>
      </c>
      <c r="C65">
        <v>5</v>
      </c>
      <c r="D65">
        <v>0</v>
      </c>
      <c r="E65" s="2">
        <v>453600000</v>
      </c>
      <c r="F65" s="2">
        <v>400000</v>
      </c>
      <c r="G65" s="9">
        <f t="shared" si="5"/>
        <v>1134</v>
      </c>
    </row>
    <row r="66" spans="1:7">
      <c r="A66" s="1">
        <v>77</v>
      </c>
      <c r="B66" t="s">
        <v>47</v>
      </c>
      <c r="C66">
        <v>5</v>
      </c>
      <c r="D66">
        <v>0</v>
      </c>
      <c r="E66" s="2">
        <v>353983000</v>
      </c>
      <c r="F66" s="2">
        <v>40700</v>
      </c>
      <c r="G66" s="9">
        <f t="shared" si="5"/>
        <v>8697.3710073710081</v>
      </c>
    </row>
    <row r="67" spans="1:7">
      <c r="A67" s="1">
        <v>81</v>
      </c>
      <c r="B67" t="s">
        <v>142</v>
      </c>
      <c r="C67">
        <v>0</v>
      </c>
      <c r="D67">
        <v>1</v>
      </c>
      <c r="G67" s="9">
        <f>$M$2</f>
        <v>761.7135707005026</v>
      </c>
    </row>
    <row r="68" spans="1:7">
      <c r="A68" s="1">
        <v>82</v>
      </c>
      <c r="B68" t="s">
        <v>143</v>
      </c>
      <c r="C68">
        <v>0</v>
      </c>
      <c r="D68">
        <v>1</v>
      </c>
      <c r="G68" s="9">
        <f>$M$2</f>
        <v>761.7135707005026</v>
      </c>
    </row>
    <row r="69" spans="1:7">
      <c r="A69" s="1">
        <v>83</v>
      </c>
      <c r="B69" s="1" t="s">
        <v>144</v>
      </c>
      <c r="C69">
        <v>0</v>
      </c>
      <c r="D69">
        <v>1</v>
      </c>
      <c r="G69" s="9">
        <f t="shared" ref="G69:G72" si="6">$M$2</f>
        <v>761.7135707005026</v>
      </c>
    </row>
    <row r="70" spans="1:7">
      <c r="A70" s="1">
        <v>87</v>
      </c>
      <c r="B70" s="1" t="s">
        <v>145</v>
      </c>
      <c r="C70">
        <v>0</v>
      </c>
      <c r="D70">
        <v>1</v>
      </c>
      <c r="G70" s="9">
        <f t="shared" si="6"/>
        <v>761.7135707005026</v>
      </c>
    </row>
    <row r="71" spans="1:7">
      <c r="A71" s="1">
        <v>88</v>
      </c>
      <c r="B71" t="s">
        <v>146</v>
      </c>
      <c r="C71">
        <v>0</v>
      </c>
      <c r="D71">
        <v>1</v>
      </c>
      <c r="G71" s="9">
        <f t="shared" si="6"/>
        <v>761.7135707005026</v>
      </c>
    </row>
    <row r="72" spans="1:7">
      <c r="A72" s="1">
        <v>92</v>
      </c>
      <c r="B72" t="s">
        <v>48</v>
      </c>
      <c r="C72">
        <v>17</v>
      </c>
      <c r="D72">
        <v>1</v>
      </c>
      <c r="G72" s="9">
        <f t="shared" si="6"/>
        <v>761.7135707005026</v>
      </c>
    </row>
    <row r="73" spans="1:7">
      <c r="A73" s="1">
        <v>204</v>
      </c>
      <c r="B73" t="s">
        <v>49</v>
      </c>
      <c r="C73">
        <v>5</v>
      </c>
      <c r="D73">
        <v>0</v>
      </c>
      <c r="E73" s="2">
        <v>1861020000</v>
      </c>
      <c r="F73" s="2">
        <v>428000</v>
      </c>
      <c r="G73" s="9">
        <f>E73/F73</f>
        <v>4348.1775700934577</v>
      </c>
    </row>
    <row r="74" spans="1:7">
      <c r="A74" s="1">
        <v>205</v>
      </c>
      <c r="B74" t="s">
        <v>50</v>
      </c>
      <c r="C74">
        <v>2</v>
      </c>
      <c r="D74">
        <v>0</v>
      </c>
      <c r="G74" s="9">
        <f>G19</f>
        <v>258.95652173913044</v>
      </c>
    </row>
    <row r="75" spans="1:7">
      <c r="A75" s="1">
        <v>206</v>
      </c>
      <c r="B75" t="s">
        <v>51</v>
      </c>
      <c r="C75">
        <v>3</v>
      </c>
      <c r="D75">
        <v>0</v>
      </c>
      <c r="E75" s="2">
        <v>1294955000</v>
      </c>
      <c r="F75" s="2">
        <v>74500</v>
      </c>
      <c r="G75" s="9">
        <f t="shared" ref="G75:G80" si="7">E75/F75</f>
        <v>17381.946308724833</v>
      </c>
    </row>
    <row r="76" spans="1:7">
      <c r="A76" s="1">
        <v>207</v>
      </c>
      <c r="B76" t="s">
        <v>96</v>
      </c>
      <c r="C76">
        <v>3</v>
      </c>
      <c r="D76">
        <v>0</v>
      </c>
      <c r="E76" s="2">
        <v>68442000</v>
      </c>
      <c r="F76" s="2">
        <v>16200</v>
      </c>
      <c r="G76" s="9">
        <f t="shared" si="7"/>
        <v>4224.8148148148148</v>
      </c>
    </row>
    <row r="77" spans="1:7">
      <c r="A77" s="1">
        <v>208</v>
      </c>
      <c r="B77" t="s">
        <v>52</v>
      </c>
      <c r="C77">
        <v>3</v>
      </c>
      <c r="D77">
        <v>0</v>
      </c>
      <c r="E77" s="2">
        <v>314288000</v>
      </c>
      <c r="F77" s="2">
        <v>27800</v>
      </c>
      <c r="G77" s="9">
        <f t="shared" si="7"/>
        <v>11305.323741007194</v>
      </c>
    </row>
    <row r="78" spans="1:7">
      <c r="A78" s="1">
        <v>209</v>
      </c>
      <c r="B78" t="s">
        <v>53</v>
      </c>
      <c r="C78">
        <v>3</v>
      </c>
      <c r="D78">
        <v>0</v>
      </c>
      <c r="E78" s="2">
        <v>384931000</v>
      </c>
      <c r="F78" s="2">
        <v>45600</v>
      </c>
      <c r="G78" s="9">
        <f t="shared" si="7"/>
        <v>8441.4692982456145</v>
      </c>
    </row>
    <row r="79" spans="1:7">
      <c r="A79" s="1">
        <v>210</v>
      </c>
      <c r="B79" t="s">
        <v>54</v>
      </c>
      <c r="C79">
        <v>5</v>
      </c>
      <c r="D79">
        <v>0</v>
      </c>
      <c r="E79" s="2">
        <v>5337000</v>
      </c>
      <c r="F79" s="2">
        <v>2420</v>
      </c>
      <c r="G79" s="9">
        <f t="shared" si="7"/>
        <v>2205.3719008264461</v>
      </c>
    </row>
    <row r="80" spans="1:7">
      <c r="A80" s="1">
        <v>211</v>
      </c>
      <c r="B80" t="s">
        <v>55</v>
      </c>
      <c r="C80">
        <v>5</v>
      </c>
      <c r="D80">
        <v>0</v>
      </c>
      <c r="E80" s="2">
        <v>76297000</v>
      </c>
      <c r="F80" s="2">
        <v>42000</v>
      </c>
      <c r="G80" s="9">
        <f t="shared" si="7"/>
        <v>1816.5952380952381</v>
      </c>
    </row>
    <row r="81" spans="1:7">
      <c r="A81" s="1">
        <v>212</v>
      </c>
      <c r="B81" t="s">
        <v>56</v>
      </c>
      <c r="C81">
        <v>5</v>
      </c>
      <c r="D81">
        <v>0</v>
      </c>
      <c r="G81" s="9">
        <f>G62</f>
        <v>3319.0407986111113</v>
      </c>
    </row>
    <row r="82" spans="1:7">
      <c r="A82" s="1">
        <v>213</v>
      </c>
      <c r="B82" t="s">
        <v>57</v>
      </c>
      <c r="C82">
        <v>3</v>
      </c>
      <c r="D82">
        <v>0</v>
      </c>
      <c r="G82" s="9">
        <f>G78</f>
        <v>8441.4692982456145</v>
      </c>
    </row>
    <row r="83" spans="1:7">
      <c r="A83" s="1">
        <v>214</v>
      </c>
      <c r="B83" t="s">
        <v>58</v>
      </c>
      <c r="C83">
        <v>3</v>
      </c>
      <c r="D83">
        <v>0</v>
      </c>
      <c r="E83" s="2">
        <v>1132775000</v>
      </c>
      <c r="F83" s="2">
        <v>127700</v>
      </c>
      <c r="G83" s="9">
        <f>E83/F83</f>
        <v>8870.595144870791</v>
      </c>
    </row>
    <row r="84" spans="1:7">
      <c r="A84" s="1">
        <v>215</v>
      </c>
      <c r="B84" t="s">
        <v>97</v>
      </c>
      <c r="C84">
        <v>5</v>
      </c>
      <c r="D84">
        <v>0</v>
      </c>
      <c r="E84" s="2">
        <v>502673000</v>
      </c>
      <c r="F84" s="2">
        <v>51730</v>
      </c>
      <c r="G84" s="9">
        <f>E84/F84</f>
        <v>9717.243379083704</v>
      </c>
    </row>
    <row r="85" spans="1:7">
      <c r="A85" s="1">
        <v>216</v>
      </c>
      <c r="B85" t="s">
        <v>59</v>
      </c>
      <c r="C85">
        <v>3</v>
      </c>
      <c r="D85">
        <v>0</v>
      </c>
      <c r="E85">
        <f>697435000+111569000</f>
        <v>809004000</v>
      </c>
      <c r="F85">
        <f>34200+11800</f>
        <v>46000</v>
      </c>
      <c r="G85" s="9">
        <f>E85/F85</f>
        <v>17587.043478260868</v>
      </c>
    </row>
    <row r="86" spans="1:7">
      <c r="A86" s="1">
        <v>217</v>
      </c>
      <c r="B86" t="s">
        <v>60</v>
      </c>
      <c r="C86">
        <v>5</v>
      </c>
      <c r="D86">
        <v>0</v>
      </c>
      <c r="G86" s="9">
        <f>G81</f>
        <v>3319.0407986111113</v>
      </c>
    </row>
    <row r="87" spans="1:7">
      <c r="A87" s="1">
        <v>218</v>
      </c>
      <c r="B87" t="s">
        <v>61</v>
      </c>
      <c r="C87">
        <v>5</v>
      </c>
      <c r="D87">
        <v>0</v>
      </c>
      <c r="E87" s="2">
        <v>169366000</v>
      </c>
      <c r="F87" s="2">
        <v>16300</v>
      </c>
      <c r="G87" s="9">
        <f>E87/F87</f>
        <v>10390.552147239263</v>
      </c>
    </row>
    <row r="88" spans="1:7">
      <c r="A88" s="1">
        <v>219</v>
      </c>
      <c r="B88" t="s">
        <v>62</v>
      </c>
      <c r="C88">
        <v>3</v>
      </c>
      <c r="D88">
        <v>0</v>
      </c>
      <c r="G88" s="9">
        <f>G96</f>
        <v>13488.621722846441</v>
      </c>
    </row>
    <row r="89" spans="1:7">
      <c r="A89" s="1">
        <v>220</v>
      </c>
      <c r="B89" t="s">
        <v>63</v>
      </c>
      <c r="C89">
        <v>5</v>
      </c>
      <c r="D89">
        <v>0</v>
      </c>
      <c r="G89" s="9">
        <f>G79</f>
        <v>2205.3719008264461</v>
      </c>
    </row>
    <row r="90" spans="1:7">
      <c r="A90" s="1">
        <v>221</v>
      </c>
      <c r="B90" t="s">
        <v>64</v>
      </c>
      <c r="C90">
        <v>3</v>
      </c>
      <c r="D90">
        <v>0</v>
      </c>
      <c r="E90" s="2">
        <v>3259100000</v>
      </c>
      <c r="F90" s="2">
        <v>56300</v>
      </c>
      <c r="G90" s="9">
        <f>E90/F90</f>
        <v>57888.099467140317</v>
      </c>
    </row>
    <row r="91" spans="1:7">
      <c r="A91" s="1">
        <v>222</v>
      </c>
      <c r="B91" t="s">
        <v>65</v>
      </c>
      <c r="C91">
        <v>3</v>
      </c>
      <c r="D91">
        <v>0</v>
      </c>
      <c r="E91" s="2">
        <v>222396000</v>
      </c>
      <c r="F91" s="2">
        <v>42600</v>
      </c>
      <c r="G91" s="9">
        <f>E91/F91</f>
        <v>5220.5633802816901</v>
      </c>
    </row>
    <row r="92" spans="1:7">
      <c r="A92" s="1">
        <v>223</v>
      </c>
      <c r="B92" t="s">
        <v>98</v>
      </c>
      <c r="C92">
        <v>5</v>
      </c>
      <c r="D92">
        <v>0</v>
      </c>
      <c r="E92" s="2">
        <v>28311000</v>
      </c>
      <c r="F92" s="2">
        <v>6290</v>
      </c>
      <c r="G92" s="9">
        <f>E92/F92</f>
        <v>4500.9538950715423</v>
      </c>
    </row>
    <row r="93" spans="1:7">
      <c r="A93" s="1">
        <v>224</v>
      </c>
      <c r="B93" t="s">
        <v>99</v>
      </c>
      <c r="C93">
        <v>8</v>
      </c>
      <c r="D93">
        <v>0</v>
      </c>
      <c r="G93" s="9">
        <f>M2</f>
        <v>761.7135707005026</v>
      </c>
    </row>
    <row r="94" spans="1:7">
      <c r="A94" s="1">
        <v>225</v>
      </c>
      <c r="B94" t="s">
        <v>66</v>
      </c>
      <c r="C94">
        <v>2</v>
      </c>
      <c r="D94">
        <v>0</v>
      </c>
      <c r="G94" s="9">
        <f>M2</f>
        <v>761.7135707005026</v>
      </c>
    </row>
    <row r="95" spans="1:7">
      <c r="A95" s="1">
        <v>226</v>
      </c>
      <c r="B95" t="s">
        <v>67</v>
      </c>
      <c r="C95">
        <v>2</v>
      </c>
      <c r="D95">
        <v>0</v>
      </c>
      <c r="G95" s="9">
        <f>M2</f>
        <v>761.7135707005026</v>
      </c>
    </row>
    <row r="96" spans="1:7">
      <c r="A96" s="1">
        <v>227</v>
      </c>
      <c r="B96" t="s">
        <v>68</v>
      </c>
      <c r="C96">
        <v>3</v>
      </c>
      <c r="D96">
        <v>0</v>
      </c>
      <c r="E96" s="2">
        <v>1800731000</v>
      </c>
      <c r="F96" s="2">
        <v>133500</v>
      </c>
      <c r="G96" s="9">
        <f>E96/F96</f>
        <v>13488.621722846441</v>
      </c>
    </row>
    <row r="97" spans="1:7">
      <c r="A97" s="1">
        <v>228</v>
      </c>
      <c r="B97" t="s">
        <v>69</v>
      </c>
      <c r="C97">
        <v>2</v>
      </c>
      <c r="D97">
        <v>0</v>
      </c>
      <c r="G97" s="9">
        <f>M2</f>
        <v>761.7135707005026</v>
      </c>
    </row>
    <row r="98" spans="1:7">
      <c r="A98" s="1">
        <v>229</v>
      </c>
      <c r="B98" t="s">
        <v>70</v>
      </c>
      <c r="C98">
        <v>3</v>
      </c>
      <c r="D98">
        <v>0</v>
      </c>
      <c r="E98" s="2">
        <v>286091000</v>
      </c>
      <c r="F98" s="2">
        <v>71200</v>
      </c>
      <c r="G98" s="9">
        <f>E98/F98</f>
        <v>4018.1320224719102</v>
      </c>
    </row>
    <row r="99" spans="1:7">
      <c r="A99" s="1">
        <v>230</v>
      </c>
      <c r="B99" t="s">
        <v>100</v>
      </c>
      <c r="C99">
        <v>3</v>
      </c>
      <c r="D99">
        <v>0</v>
      </c>
      <c r="G99" s="9">
        <f>$G$96</f>
        <v>13488.621722846441</v>
      </c>
    </row>
    <row r="100" spans="1:7">
      <c r="A100" s="1">
        <v>231</v>
      </c>
      <c r="B100" t="s">
        <v>71</v>
      </c>
      <c r="C100">
        <v>3</v>
      </c>
      <c r="D100">
        <v>0</v>
      </c>
      <c r="G100" s="9">
        <f t="shared" ref="G100:G102" si="8">$G$96</f>
        <v>13488.621722846441</v>
      </c>
    </row>
    <row r="101" spans="1:7">
      <c r="A101" s="1">
        <v>232</v>
      </c>
      <c r="B101" t="s">
        <v>72</v>
      </c>
      <c r="C101">
        <v>3</v>
      </c>
      <c r="D101">
        <v>0</v>
      </c>
      <c r="G101" s="9">
        <f t="shared" si="8"/>
        <v>13488.621722846441</v>
      </c>
    </row>
    <row r="102" spans="1:7">
      <c r="A102" s="1">
        <v>233</v>
      </c>
      <c r="B102" t="s">
        <v>101</v>
      </c>
      <c r="C102">
        <v>3</v>
      </c>
      <c r="D102">
        <v>0</v>
      </c>
      <c r="G102" s="9">
        <f t="shared" si="8"/>
        <v>13488.621722846441</v>
      </c>
    </row>
    <row r="103" spans="1:7">
      <c r="A103" s="1">
        <v>234</v>
      </c>
      <c r="B103" t="s">
        <v>102</v>
      </c>
      <c r="C103">
        <v>2</v>
      </c>
      <c r="D103">
        <v>0</v>
      </c>
      <c r="G103" s="9">
        <f>$M$2</f>
        <v>761.7135707005026</v>
      </c>
    </row>
    <row r="104" spans="1:7">
      <c r="A104" s="1">
        <v>235</v>
      </c>
      <c r="B104" t="s">
        <v>103</v>
      </c>
      <c r="C104">
        <v>2</v>
      </c>
      <c r="D104">
        <v>0</v>
      </c>
      <c r="G104" s="9">
        <f t="shared" ref="G104:G110" si="9">$M$2</f>
        <v>761.7135707005026</v>
      </c>
    </row>
    <row r="105" spans="1:7">
      <c r="A105" s="1">
        <v>236</v>
      </c>
      <c r="B105" t="s">
        <v>73</v>
      </c>
      <c r="C105">
        <v>2</v>
      </c>
      <c r="D105">
        <v>0</v>
      </c>
      <c r="G105" s="9">
        <f t="shared" si="9"/>
        <v>761.7135707005026</v>
      </c>
    </row>
    <row r="106" spans="1:7">
      <c r="A106" s="1">
        <v>237</v>
      </c>
      <c r="B106" t="s">
        <v>74</v>
      </c>
      <c r="C106">
        <v>2</v>
      </c>
      <c r="D106">
        <v>0</v>
      </c>
      <c r="G106" s="9">
        <f t="shared" si="9"/>
        <v>761.7135707005026</v>
      </c>
    </row>
    <row r="107" spans="1:7">
      <c r="A107" s="1">
        <v>238</v>
      </c>
      <c r="B107" t="s">
        <v>75</v>
      </c>
      <c r="C107">
        <v>2</v>
      </c>
      <c r="D107">
        <v>0</v>
      </c>
      <c r="G107" s="9">
        <f t="shared" si="9"/>
        <v>761.7135707005026</v>
      </c>
    </row>
    <row r="108" spans="1:7">
      <c r="A108" s="1">
        <v>239</v>
      </c>
      <c r="B108" t="s">
        <v>104</v>
      </c>
      <c r="C108">
        <v>2</v>
      </c>
      <c r="D108">
        <v>0</v>
      </c>
      <c r="G108" s="9">
        <f t="shared" si="9"/>
        <v>761.7135707005026</v>
      </c>
    </row>
    <row r="109" spans="1:7">
      <c r="A109" s="1">
        <v>240</v>
      </c>
      <c r="B109" t="s">
        <v>105</v>
      </c>
      <c r="C109">
        <v>2</v>
      </c>
      <c r="D109">
        <v>0</v>
      </c>
      <c r="G109" s="9">
        <f t="shared" si="9"/>
        <v>761.7135707005026</v>
      </c>
    </row>
    <row r="110" spans="1:7">
      <c r="A110" s="1">
        <v>241</v>
      </c>
      <c r="B110" t="s">
        <v>106</v>
      </c>
      <c r="C110">
        <v>2</v>
      </c>
      <c r="D110">
        <v>0</v>
      </c>
      <c r="G110" s="9">
        <f t="shared" si="9"/>
        <v>761.7135707005026</v>
      </c>
    </row>
    <row r="111" spans="1:7">
      <c r="A111" s="1">
        <v>242</v>
      </c>
      <c r="B111" t="s">
        <v>76</v>
      </c>
      <c r="C111">
        <v>5</v>
      </c>
      <c r="D111">
        <v>0</v>
      </c>
      <c r="E111" s="2">
        <v>1096115000</v>
      </c>
      <c r="F111" s="2">
        <v>104900</v>
      </c>
      <c r="G111" s="9">
        <f>E111/F111</f>
        <v>10449.142040038132</v>
      </c>
    </row>
    <row r="112" spans="1:7">
      <c r="A112" s="1">
        <v>243</v>
      </c>
      <c r="B112" t="s">
        <v>77</v>
      </c>
      <c r="C112">
        <v>3</v>
      </c>
      <c r="D112">
        <v>0</v>
      </c>
      <c r="E112" s="2">
        <v>632801000</v>
      </c>
      <c r="F112" s="2">
        <v>52600</v>
      </c>
      <c r="G112" s="9">
        <f>E112/F112</f>
        <v>12030.437262357415</v>
      </c>
    </row>
    <row r="113" spans="1:7">
      <c r="A113" s="1">
        <v>244</v>
      </c>
      <c r="B113" t="s">
        <v>78</v>
      </c>
      <c r="C113">
        <v>3</v>
      </c>
      <c r="D113">
        <v>0</v>
      </c>
      <c r="E113" s="2">
        <v>665642000</v>
      </c>
      <c r="F113" s="2">
        <v>47400</v>
      </c>
      <c r="G113" s="9">
        <f>E113/F113</f>
        <v>14043.080168776371</v>
      </c>
    </row>
    <row r="114" spans="1:7">
      <c r="A114" s="1">
        <v>245</v>
      </c>
      <c r="B114" t="s">
        <v>79</v>
      </c>
      <c r="C114">
        <v>3</v>
      </c>
      <c r="D114">
        <v>0</v>
      </c>
      <c r="E114" s="2">
        <v>450057000</v>
      </c>
      <c r="F114" s="2">
        <v>27500</v>
      </c>
      <c r="G114" s="9">
        <f>E114/F114</f>
        <v>16365.709090909091</v>
      </c>
    </row>
    <row r="115" spans="1:7">
      <c r="A115" s="1">
        <v>246</v>
      </c>
      <c r="B115" t="s">
        <v>80</v>
      </c>
      <c r="C115">
        <v>3</v>
      </c>
      <c r="D115">
        <v>0</v>
      </c>
      <c r="E115" s="2">
        <v>52851000</v>
      </c>
      <c r="F115" s="2">
        <v>14800</v>
      </c>
      <c r="G115" s="9">
        <f>E115/F115</f>
        <v>3571.0135135135133</v>
      </c>
    </row>
    <row r="116" spans="1:7">
      <c r="A116" s="1">
        <v>247</v>
      </c>
      <c r="B116" t="s">
        <v>107</v>
      </c>
      <c r="C116">
        <v>3</v>
      </c>
      <c r="D116">
        <v>0</v>
      </c>
      <c r="G116" s="9">
        <f>M3</f>
        <v>7869.1118160190326</v>
      </c>
    </row>
    <row r="117" spans="1:7">
      <c r="A117" s="1">
        <v>248</v>
      </c>
      <c r="B117" t="s">
        <v>108</v>
      </c>
      <c r="C117">
        <v>3</v>
      </c>
      <c r="D117">
        <v>0</v>
      </c>
      <c r="E117" s="2">
        <v>21492000</v>
      </c>
      <c r="F117" s="2">
        <v>2800</v>
      </c>
      <c r="G117" s="9">
        <f>E117/F117</f>
        <v>7675.7142857142853</v>
      </c>
    </row>
    <row r="118" spans="1:7">
      <c r="A118" s="1">
        <v>249</v>
      </c>
      <c r="B118" t="s">
        <v>109</v>
      </c>
      <c r="C118">
        <v>3</v>
      </c>
      <c r="D118">
        <v>0</v>
      </c>
      <c r="G118" s="9">
        <f>M3</f>
        <v>7869.1118160190326</v>
      </c>
    </row>
    <row r="119" spans="1:7">
      <c r="A119" s="1">
        <v>250</v>
      </c>
      <c r="B119" t="s">
        <v>110</v>
      </c>
      <c r="C119">
        <v>3</v>
      </c>
      <c r="D119">
        <v>0</v>
      </c>
      <c r="E119" s="2">
        <v>304220000</v>
      </c>
      <c r="F119" s="2">
        <v>36500</v>
      </c>
      <c r="G119" s="9">
        <f>E119/F119</f>
        <v>8334.7945205479446</v>
      </c>
    </row>
    <row r="120" spans="1:7">
      <c r="A120" s="1">
        <v>254</v>
      </c>
      <c r="B120" t="s">
        <v>111</v>
      </c>
      <c r="C120">
        <v>2</v>
      </c>
      <c r="D120">
        <v>0</v>
      </c>
      <c r="G120" s="9">
        <f>M2</f>
        <v>761.7135707005026</v>
      </c>
    </row>
    <row r="122" spans="1:7">
      <c r="B122" t="s">
        <v>150</v>
      </c>
      <c r="E122" s="2">
        <f>SUM(E2:E35)</f>
        <v>196450091000</v>
      </c>
      <c r="F122" s="2">
        <f>SUM(F2:F35)</f>
        <v>284625580</v>
      </c>
      <c r="G122" s="9">
        <f>E122/F122</f>
        <v>690.2053251854594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AFF8-F506-44B3-B80C-0BD30C91D5DF}">
  <dimension ref="A2:D13"/>
  <sheetViews>
    <sheetView tabSelected="1" workbookViewId="0">
      <selection activeCell="F16" sqref="F16"/>
    </sheetView>
  </sheetViews>
  <sheetFormatPr defaultRowHeight="15"/>
  <cols>
    <col min="1" max="1" width="13.42578125" bestFit="1" customWidth="1"/>
    <col min="2" max="2" width="12.5703125" bestFit="1" customWidth="1"/>
    <col min="3" max="3" width="12.7109375" bestFit="1" customWidth="1"/>
  </cols>
  <sheetData>
    <row r="2" spans="1:4">
      <c r="A2" t="s">
        <v>156</v>
      </c>
    </row>
    <row r="3" spans="1:4">
      <c r="A3" s="10" t="s">
        <v>152</v>
      </c>
      <c r="B3" t="s">
        <v>154</v>
      </c>
      <c r="C3" t="s">
        <v>155</v>
      </c>
      <c r="D3" t="s">
        <v>149</v>
      </c>
    </row>
    <row r="4" spans="1:4">
      <c r="A4" s="11">
        <v>0</v>
      </c>
    </row>
    <row r="5" spans="1:4">
      <c r="A5" s="11">
        <v>1</v>
      </c>
      <c r="B5">
        <v>62759577000</v>
      </c>
      <c r="C5">
        <v>90491300</v>
      </c>
      <c r="D5" s="9">
        <f>GETPIVOTDATA("Sum of Sales",$A$3,"TAP_475",1)/GETPIVOTDATA("Sum of Acres",$A$3,"TAP_475",1)</f>
        <v>693.54266100719076</v>
      </c>
    </row>
    <row r="6" spans="1:4">
      <c r="A6" s="11">
        <v>2</v>
      </c>
      <c r="B6">
        <v>95766035000</v>
      </c>
      <c r="C6">
        <v>135961600</v>
      </c>
      <c r="D6" s="9">
        <f>GETPIVOTDATA("Sum of Sales",$A$3,"TAP_475",2)/GETPIVOTDATA("Sum of Acres",$A$3,"TAP_475",2)</f>
        <v>704.36090043070988</v>
      </c>
    </row>
    <row r="7" spans="1:4">
      <c r="A7" s="11">
        <v>3</v>
      </c>
      <c r="B7">
        <v>18031798000</v>
      </c>
      <c r="C7">
        <v>1925500</v>
      </c>
      <c r="D7" s="9">
        <f>GETPIVOTDATA("Sum of Sales",$A$3,"TAP_475",3)/GETPIVOTDATA("Sum of Acres",$A$3,"TAP_475",3)</f>
        <v>9364.7353934043113</v>
      </c>
    </row>
    <row r="8" spans="1:4">
      <c r="A8" s="11">
        <v>4</v>
      </c>
      <c r="B8">
        <v>5166427000</v>
      </c>
      <c r="C8">
        <v>918200</v>
      </c>
      <c r="D8" s="9">
        <f>GETPIVOTDATA("Sum of Sales",$A$3,"TAP_475",4)/GETPIVOTDATA("Sum of Acres",$A$3,"TAP_475",4)</f>
        <v>5626.6902635591377</v>
      </c>
    </row>
    <row r="9" spans="1:4">
      <c r="A9" s="11">
        <v>5</v>
      </c>
      <c r="B9">
        <v>15601044000</v>
      </c>
      <c r="C9">
        <v>4709040</v>
      </c>
      <c r="D9" s="9">
        <f>GETPIVOTDATA("Sum of Sales",$A$3,"TAP_475",5)/GETPIVOTDATA("Sum of Acres",$A$3,"TAP_475",5)</f>
        <v>3312.998827786555</v>
      </c>
    </row>
    <row r="10" spans="1:4">
      <c r="A10" s="11">
        <v>7</v>
      </c>
      <c r="B10">
        <v>13229240000</v>
      </c>
      <c r="C10">
        <v>10991293</v>
      </c>
      <c r="D10" s="9">
        <f>GETPIVOTDATA("Sum of Sales",$A$3,"TAP_475",7)/GETPIVOTDATA("Sum of Acres",$A$3,"TAP_475",7)</f>
        <v>1203.6108945508049</v>
      </c>
    </row>
    <row r="11" spans="1:4">
      <c r="A11" s="11">
        <v>8</v>
      </c>
      <c r="B11">
        <v>21522996000</v>
      </c>
      <c r="C11">
        <v>48711000</v>
      </c>
      <c r="D11" s="9">
        <f>GETPIVOTDATA("Sum of Sales",$A$3,"TAP_475",8)/GETPIVOTDATA("Sum of Acres",$A$3,"TAP_475",8)</f>
        <v>441.85083451376488</v>
      </c>
    </row>
    <row r="12" spans="1:4">
      <c r="A12" s="11">
        <v>17</v>
      </c>
    </row>
    <row r="13" spans="1:4">
      <c r="A13" s="11" t="s">
        <v>153</v>
      </c>
      <c r="B13">
        <v>232077117000</v>
      </c>
      <c r="C13">
        <v>293707933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5946-209F-46A7-AE95-95D24A8B62EA}">
  <dimension ref="A1:B23"/>
  <sheetViews>
    <sheetView workbookViewId="0">
      <selection activeCell="B8" sqref="B8"/>
    </sheetView>
  </sheetViews>
  <sheetFormatPr defaultRowHeight="15"/>
  <cols>
    <col min="1" max="1" width="4.28515625" bestFit="1" customWidth="1"/>
    <col min="2" max="2" width="63.42578125" customWidth="1"/>
  </cols>
  <sheetData>
    <row r="1" spans="1:2">
      <c r="A1" s="3" t="s">
        <v>113</v>
      </c>
      <c r="B1" s="3" t="s">
        <v>114</v>
      </c>
    </row>
    <row r="2" spans="1:2">
      <c r="A2">
        <v>1</v>
      </c>
      <c r="B2" s="4" t="s">
        <v>115</v>
      </c>
    </row>
    <row r="3" spans="1:2" ht="15.75" thickBot="1">
      <c r="A3">
        <v>2</v>
      </c>
      <c r="B3" s="4" t="s">
        <v>116</v>
      </c>
    </row>
    <row r="4" spans="1:2">
      <c r="A4">
        <v>3</v>
      </c>
      <c r="B4" s="5" t="s">
        <v>117</v>
      </c>
    </row>
    <row r="5" spans="1:2" ht="15.75" thickBot="1">
      <c r="A5">
        <v>4</v>
      </c>
      <c r="B5" s="6" t="s">
        <v>118</v>
      </c>
    </row>
    <row r="6" spans="1:2">
      <c r="A6">
        <v>5</v>
      </c>
      <c r="B6" s="4" t="s">
        <v>119</v>
      </c>
    </row>
    <row r="7" spans="1:2" ht="15.75" thickBot="1">
      <c r="A7">
        <v>6</v>
      </c>
      <c r="B7" s="4" t="s">
        <v>120</v>
      </c>
    </row>
    <row r="8" spans="1:2">
      <c r="A8">
        <v>7</v>
      </c>
      <c r="B8" s="5" t="s">
        <v>121</v>
      </c>
    </row>
    <row r="9" spans="1:2">
      <c r="A9">
        <v>8</v>
      </c>
      <c r="B9" s="7" t="s">
        <v>122</v>
      </c>
    </row>
    <row r="10" spans="1:2">
      <c r="A10">
        <v>9</v>
      </c>
      <c r="B10" s="7" t="s">
        <v>123</v>
      </c>
    </row>
    <row r="11" spans="1:2" ht="15.75" thickBot="1">
      <c r="A11">
        <v>10</v>
      </c>
      <c r="B11" s="6" t="s">
        <v>124</v>
      </c>
    </row>
    <row r="12" spans="1:2">
      <c r="A12">
        <v>11</v>
      </c>
      <c r="B12" s="8" t="s">
        <v>125</v>
      </c>
    </row>
    <row r="13" spans="1:2">
      <c r="A13">
        <v>12</v>
      </c>
      <c r="B13" s="7" t="s">
        <v>126</v>
      </c>
    </row>
    <row r="14" spans="1:2">
      <c r="A14">
        <v>13</v>
      </c>
      <c r="B14" s="7" t="s">
        <v>127</v>
      </c>
    </row>
    <row r="15" spans="1:2" ht="15.75" thickBot="1">
      <c r="A15">
        <v>14</v>
      </c>
      <c r="B15" s="6" t="s">
        <v>128</v>
      </c>
    </row>
    <row r="16" spans="1:2" ht="15.75" thickBot="1">
      <c r="A16">
        <v>15</v>
      </c>
      <c r="B16" s="4" t="s">
        <v>129</v>
      </c>
    </row>
    <row r="17" spans="1:2">
      <c r="A17">
        <v>16</v>
      </c>
      <c r="B17" s="5" t="s">
        <v>130</v>
      </c>
    </row>
    <row r="18" spans="1:2">
      <c r="A18">
        <v>17</v>
      </c>
      <c r="B18" s="7" t="s">
        <v>131</v>
      </c>
    </row>
    <row r="19" spans="1:2">
      <c r="A19">
        <v>18</v>
      </c>
      <c r="B19" s="7" t="s">
        <v>132</v>
      </c>
    </row>
    <row r="20" spans="1:2">
      <c r="A20">
        <v>19</v>
      </c>
      <c r="B20" s="7" t="s">
        <v>133</v>
      </c>
    </row>
    <row r="21" spans="1:2">
      <c r="A21">
        <v>20</v>
      </c>
      <c r="B21" s="7" t="s">
        <v>134</v>
      </c>
    </row>
    <row r="22" spans="1:2" ht="15.75" thickBot="1">
      <c r="A22">
        <v>21</v>
      </c>
      <c r="B22" s="6" t="s">
        <v>135</v>
      </c>
    </row>
    <row r="23" spans="1:2">
      <c r="A23">
        <v>22</v>
      </c>
      <c r="B23" s="4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94F8-4F24-490C-9BA9-BCEAE62C4B08}">
  <dimension ref="A1:F120"/>
  <sheetViews>
    <sheetView workbookViewId="0">
      <selection activeCell="I53" sqref="I53"/>
    </sheetView>
  </sheetViews>
  <sheetFormatPr defaultRowHeight="15"/>
  <sheetData>
    <row r="1" spans="1:6">
      <c r="A1" s="1" t="s">
        <v>84</v>
      </c>
      <c r="B1" t="s">
        <v>85</v>
      </c>
      <c r="C1" t="s">
        <v>112</v>
      </c>
      <c r="D1" t="s">
        <v>141</v>
      </c>
      <c r="E1" t="s">
        <v>147</v>
      </c>
      <c r="F1" t="s">
        <v>148</v>
      </c>
    </row>
    <row r="2" spans="1:6">
      <c r="A2" s="1">
        <v>1</v>
      </c>
      <c r="B2" t="s">
        <v>0</v>
      </c>
      <c r="C2">
        <v>2</v>
      </c>
      <c r="D2">
        <v>0</v>
      </c>
      <c r="E2" s="2">
        <v>73886983000</v>
      </c>
      <c r="F2" s="2">
        <v>86513000</v>
      </c>
    </row>
    <row r="3" spans="1:6">
      <c r="A3" s="1">
        <v>2</v>
      </c>
      <c r="B3" t="s">
        <v>1</v>
      </c>
      <c r="C3">
        <v>7</v>
      </c>
      <c r="D3">
        <v>0</v>
      </c>
      <c r="E3" s="2">
        <v>6185950000</v>
      </c>
      <c r="F3" s="2">
        <v>7289600</v>
      </c>
    </row>
    <row r="4" spans="1:6">
      <c r="A4" s="1">
        <v>3</v>
      </c>
      <c r="B4" t="s">
        <v>2</v>
      </c>
      <c r="C4">
        <v>2</v>
      </c>
      <c r="D4">
        <v>0</v>
      </c>
      <c r="E4" s="2">
        <v>3210556000</v>
      </c>
      <c r="F4" s="2">
        <v>2167000</v>
      </c>
    </row>
    <row r="5" spans="1:6">
      <c r="A5" s="1">
        <v>4</v>
      </c>
      <c r="B5" t="s">
        <v>3</v>
      </c>
      <c r="C5">
        <v>2</v>
      </c>
      <c r="D5">
        <v>0</v>
      </c>
      <c r="E5" s="2">
        <v>1246906000</v>
      </c>
      <c r="F5" s="2">
        <v>4570000</v>
      </c>
    </row>
    <row r="6" spans="1:6">
      <c r="A6" s="1">
        <v>5</v>
      </c>
      <c r="B6" t="s">
        <v>81</v>
      </c>
      <c r="C6">
        <v>1</v>
      </c>
      <c r="D6">
        <v>0</v>
      </c>
      <c r="E6" s="2">
        <v>60695837000</v>
      </c>
      <c r="F6" s="2">
        <v>86174000</v>
      </c>
    </row>
    <row r="7" spans="1:6">
      <c r="A7" s="1">
        <v>6</v>
      </c>
      <c r="B7" t="s">
        <v>4</v>
      </c>
      <c r="C7">
        <v>1</v>
      </c>
      <c r="D7">
        <v>0</v>
      </c>
      <c r="E7" s="2">
        <v>763085000</v>
      </c>
      <c r="F7" s="2">
        <v>1599500</v>
      </c>
    </row>
    <row r="8" spans="1:6">
      <c r="A8" s="1">
        <v>10</v>
      </c>
      <c r="B8" t="s">
        <v>83</v>
      </c>
      <c r="C8">
        <v>7</v>
      </c>
      <c r="D8">
        <v>0</v>
      </c>
      <c r="E8" s="2">
        <v>1501234000</v>
      </c>
      <c r="F8" s="2">
        <v>1381400</v>
      </c>
    </row>
    <row r="9" spans="1:6">
      <c r="A9" s="1">
        <v>11</v>
      </c>
      <c r="B9" t="s">
        <v>82</v>
      </c>
      <c r="C9">
        <v>7</v>
      </c>
      <c r="D9">
        <v>0</v>
      </c>
      <c r="E9" s="2">
        <v>991694000</v>
      </c>
      <c r="F9" s="2">
        <v>198280</v>
      </c>
    </row>
    <row r="10" spans="1:6">
      <c r="A10" s="1">
        <v>12</v>
      </c>
      <c r="B10" t="s">
        <v>5</v>
      </c>
      <c r="C10">
        <v>3</v>
      </c>
      <c r="D10">
        <v>0</v>
      </c>
      <c r="E10" s="2">
        <v>899733000</v>
      </c>
      <c r="F10" s="2">
        <v>367600</v>
      </c>
    </row>
    <row r="11" spans="1:6">
      <c r="A11" s="1">
        <v>13</v>
      </c>
      <c r="B11" t="s">
        <v>6</v>
      </c>
      <c r="C11">
        <v>2</v>
      </c>
      <c r="D11">
        <v>0</v>
      </c>
    </row>
    <row r="12" spans="1:6">
      <c r="A12" s="1">
        <v>14</v>
      </c>
      <c r="B12" t="s">
        <v>7</v>
      </c>
      <c r="C12">
        <v>7</v>
      </c>
      <c r="D12">
        <v>0</v>
      </c>
      <c r="E12" s="2">
        <v>76021000</v>
      </c>
      <c r="F12" s="2">
        <v>33500</v>
      </c>
    </row>
    <row r="13" spans="1:6">
      <c r="A13" s="1">
        <v>21</v>
      </c>
      <c r="B13" t="s">
        <v>8</v>
      </c>
      <c r="C13">
        <v>2</v>
      </c>
      <c r="D13">
        <v>0</v>
      </c>
      <c r="E13" s="2">
        <v>1160718000</v>
      </c>
      <c r="F13" s="2">
        <v>2425000</v>
      </c>
    </row>
    <row r="14" spans="1:6">
      <c r="A14" s="1">
        <v>22</v>
      </c>
      <c r="B14" t="s">
        <v>9</v>
      </c>
      <c r="C14">
        <v>2</v>
      </c>
      <c r="D14">
        <v>0</v>
      </c>
      <c r="E14" s="2">
        <v>668878000</v>
      </c>
      <c r="F14" s="2">
        <v>1581000</v>
      </c>
    </row>
    <row r="15" spans="1:6">
      <c r="A15" s="1">
        <v>23</v>
      </c>
      <c r="B15" t="s">
        <v>10</v>
      </c>
      <c r="C15">
        <v>2</v>
      </c>
      <c r="D15">
        <v>0</v>
      </c>
      <c r="E15" s="2">
        <v>4238261000</v>
      </c>
      <c r="F15" s="2">
        <v>10450000</v>
      </c>
    </row>
    <row r="16" spans="1:6">
      <c r="A16" s="1">
        <v>24</v>
      </c>
      <c r="B16" t="s">
        <v>11</v>
      </c>
      <c r="C16">
        <v>2</v>
      </c>
      <c r="D16">
        <v>0</v>
      </c>
      <c r="E16" s="2">
        <v>9306187000</v>
      </c>
      <c r="F16" s="2">
        <v>23454000</v>
      </c>
    </row>
    <row r="17" spans="1:6">
      <c r="A17" s="1">
        <v>25</v>
      </c>
      <c r="B17" t="s">
        <v>86</v>
      </c>
      <c r="C17">
        <v>2</v>
      </c>
      <c r="D17">
        <v>0</v>
      </c>
    </row>
    <row r="18" spans="1:6">
      <c r="A18" s="1">
        <v>26</v>
      </c>
      <c r="B18" t="s">
        <v>87</v>
      </c>
      <c r="C18">
        <v>2</v>
      </c>
      <c r="D18">
        <v>0</v>
      </c>
    </row>
    <row r="19" spans="1:6">
      <c r="A19" s="1">
        <v>27</v>
      </c>
      <c r="B19" t="s">
        <v>12</v>
      </c>
      <c r="C19">
        <v>2</v>
      </c>
      <c r="D19">
        <v>0</v>
      </c>
      <c r="E19" s="2">
        <v>89340000</v>
      </c>
      <c r="F19" s="2">
        <v>345000</v>
      </c>
    </row>
    <row r="20" spans="1:6">
      <c r="A20" s="1">
        <v>28</v>
      </c>
      <c r="B20" t="s">
        <v>13</v>
      </c>
      <c r="C20">
        <v>2</v>
      </c>
      <c r="D20">
        <v>0</v>
      </c>
      <c r="E20" s="2">
        <v>273209000</v>
      </c>
      <c r="F20" s="2">
        <v>880000</v>
      </c>
    </row>
    <row r="21" spans="1:6">
      <c r="A21" s="1">
        <v>29</v>
      </c>
      <c r="B21" t="s">
        <v>88</v>
      </c>
      <c r="C21">
        <v>2</v>
      </c>
      <c r="D21">
        <v>0</v>
      </c>
      <c r="E21" s="2">
        <v>82078000</v>
      </c>
      <c r="F21" s="2">
        <v>493000</v>
      </c>
    </row>
    <row r="22" spans="1:6">
      <c r="A22" s="1">
        <v>30</v>
      </c>
      <c r="B22" t="s">
        <v>89</v>
      </c>
      <c r="C22">
        <v>2</v>
      </c>
      <c r="D22">
        <v>0</v>
      </c>
    </row>
    <row r="23" spans="1:6">
      <c r="A23" s="1">
        <v>31</v>
      </c>
      <c r="B23" t="s">
        <v>14</v>
      </c>
      <c r="C23">
        <v>1</v>
      </c>
      <c r="D23">
        <v>0</v>
      </c>
      <c r="E23" s="2">
        <v>1131398000</v>
      </c>
      <c r="F23" s="2">
        <v>2163700</v>
      </c>
    </row>
    <row r="24" spans="1:6">
      <c r="A24" s="1">
        <v>32</v>
      </c>
      <c r="B24" t="s">
        <v>15</v>
      </c>
      <c r="C24">
        <v>1</v>
      </c>
      <c r="D24">
        <v>0</v>
      </c>
      <c r="E24" s="2">
        <v>77047000</v>
      </c>
      <c r="F24" s="2">
        <v>242000</v>
      </c>
    </row>
    <row r="25" spans="1:6">
      <c r="A25" s="1">
        <v>33</v>
      </c>
      <c r="B25" t="s">
        <v>16</v>
      </c>
      <c r="C25">
        <v>1</v>
      </c>
      <c r="D25">
        <v>0</v>
      </c>
      <c r="E25" s="2">
        <v>47001000</v>
      </c>
      <c r="F25" s="2">
        <v>126000</v>
      </c>
    </row>
    <row r="26" spans="1:6">
      <c r="A26" s="1">
        <v>34</v>
      </c>
      <c r="B26" t="s">
        <v>90</v>
      </c>
      <c r="C26">
        <v>1</v>
      </c>
      <c r="D26">
        <v>0</v>
      </c>
      <c r="E26" s="2">
        <v>4230000</v>
      </c>
      <c r="F26" s="2">
        <v>10400</v>
      </c>
    </row>
    <row r="27" spans="1:6">
      <c r="A27" s="1">
        <v>35</v>
      </c>
      <c r="B27" t="s">
        <v>17</v>
      </c>
      <c r="C27">
        <v>1</v>
      </c>
      <c r="D27">
        <v>0</v>
      </c>
      <c r="E27" s="2">
        <v>40979000</v>
      </c>
      <c r="F27" s="2">
        <v>175700</v>
      </c>
    </row>
    <row r="28" spans="1:6">
      <c r="A28" s="1">
        <v>36</v>
      </c>
      <c r="B28" t="s">
        <v>18</v>
      </c>
      <c r="C28">
        <v>8</v>
      </c>
      <c r="D28">
        <v>0</v>
      </c>
      <c r="E28" s="2">
        <v>11733134000</v>
      </c>
      <c r="F28" s="2">
        <v>15153000</v>
      </c>
    </row>
    <row r="29" spans="1:6">
      <c r="A29" s="1">
        <v>37</v>
      </c>
      <c r="B29" s="1" t="s">
        <v>19</v>
      </c>
      <c r="C29">
        <v>8</v>
      </c>
      <c r="D29">
        <v>1</v>
      </c>
      <c r="E29" s="2">
        <v>9789862000</v>
      </c>
      <c r="F29" s="2">
        <v>33558000</v>
      </c>
    </row>
    <row r="30" spans="1:6">
      <c r="A30" s="1">
        <v>38</v>
      </c>
      <c r="B30" t="s">
        <v>91</v>
      </c>
      <c r="C30">
        <v>1</v>
      </c>
      <c r="D30">
        <v>0</v>
      </c>
    </row>
    <row r="31" spans="1:6">
      <c r="A31" s="1">
        <v>39</v>
      </c>
      <c r="B31" t="s">
        <v>92</v>
      </c>
      <c r="C31">
        <v>2</v>
      </c>
      <c r="D31">
        <v>0</v>
      </c>
    </row>
    <row r="32" spans="1:6">
      <c r="A32" s="1">
        <v>41</v>
      </c>
      <c r="B32" t="s">
        <v>20</v>
      </c>
      <c r="C32">
        <v>7</v>
      </c>
      <c r="D32">
        <v>0</v>
      </c>
      <c r="E32" s="2">
        <v>2129629000</v>
      </c>
      <c r="F32" s="2">
        <v>1137500</v>
      </c>
    </row>
    <row r="33" spans="1:6">
      <c r="A33" s="1">
        <v>42</v>
      </c>
      <c r="B33" t="s">
        <v>21</v>
      </c>
      <c r="C33">
        <v>2</v>
      </c>
      <c r="D33">
        <v>0</v>
      </c>
      <c r="E33" s="2">
        <v>1053714000</v>
      </c>
      <c r="F33" s="2">
        <v>1219200</v>
      </c>
    </row>
    <row r="34" spans="1:6">
      <c r="A34" s="1">
        <v>43</v>
      </c>
      <c r="B34" t="s">
        <v>22</v>
      </c>
      <c r="C34">
        <v>4</v>
      </c>
      <c r="D34">
        <v>0</v>
      </c>
      <c r="E34" s="2">
        <v>5166427000</v>
      </c>
      <c r="F34" s="2">
        <v>918200</v>
      </c>
    </row>
    <row r="35" spans="1:6">
      <c r="A35" s="1">
        <v>44</v>
      </c>
      <c r="B35" t="s">
        <v>23</v>
      </c>
      <c r="C35">
        <v>7</v>
      </c>
      <c r="D35">
        <v>0</v>
      </c>
    </row>
    <row r="36" spans="1:6">
      <c r="A36" s="1">
        <v>45</v>
      </c>
      <c r="B36" t="s">
        <v>93</v>
      </c>
      <c r="C36">
        <v>7</v>
      </c>
      <c r="D36">
        <v>0</v>
      </c>
      <c r="E36" s="2">
        <v>1723614000</v>
      </c>
      <c r="F36" s="2">
        <v>890900</v>
      </c>
    </row>
    <row r="37" spans="1:6">
      <c r="A37" s="1">
        <v>46</v>
      </c>
      <c r="B37" t="s">
        <v>24</v>
      </c>
      <c r="C37">
        <v>3</v>
      </c>
      <c r="D37">
        <v>0</v>
      </c>
      <c r="E37" s="2">
        <v>656457000</v>
      </c>
      <c r="F37" s="2">
        <v>140000</v>
      </c>
    </row>
    <row r="38" spans="1:6">
      <c r="A38" s="1">
        <v>47</v>
      </c>
      <c r="B38" t="s">
        <v>25</v>
      </c>
      <c r="C38">
        <v>3</v>
      </c>
      <c r="D38">
        <v>0</v>
      </c>
    </row>
    <row r="39" spans="1:6">
      <c r="A39" s="1">
        <v>48</v>
      </c>
      <c r="B39" t="s">
        <v>26</v>
      </c>
      <c r="C39">
        <v>3</v>
      </c>
      <c r="D39">
        <v>0</v>
      </c>
      <c r="E39" s="2">
        <v>820549000</v>
      </c>
      <c r="F39" s="2">
        <v>103400</v>
      </c>
    </row>
    <row r="40" spans="1:6">
      <c r="A40" s="1">
        <v>49</v>
      </c>
      <c r="B40" t="s">
        <v>27</v>
      </c>
      <c r="C40">
        <v>3</v>
      </c>
      <c r="D40">
        <v>0</v>
      </c>
      <c r="E40" s="2">
        <v>1842922000</v>
      </c>
      <c r="F40" s="2">
        <v>135000</v>
      </c>
    </row>
    <row r="41" spans="1:6">
      <c r="A41" s="1">
        <v>50</v>
      </c>
      <c r="B41" t="s">
        <v>28</v>
      </c>
      <c r="C41">
        <v>3</v>
      </c>
      <c r="D41">
        <v>0</v>
      </c>
      <c r="E41" s="2">
        <v>298928000</v>
      </c>
      <c r="F41" s="2">
        <v>84500</v>
      </c>
    </row>
    <row r="42" spans="1:6">
      <c r="A42" s="1">
        <v>51</v>
      </c>
      <c r="B42" t="s">
        <v>29</v>
      </c>
      <c r="C42">
        <v>2</v>
      </c>
      <c r="D42">
        <v>0</v>
      </c>
      <c r="E42" s="2">
        <v>128134000</v>
      </c>
      <c r="F42" s="2">
        <v>357400</v>
      </c>
    </row>
    <row r="43" spans="1:6">
      <c r="A43" s="1">
        <v>52</v>
      </c>
      <c r="B43" t="s">
        <v>30</v>
      </c>
      <c r="C43">
        <v>2</v>
      </c>
      <c r="D43">
        <v>0</v>
      </c>
      <c r="E43" s="2">
        <v>189514000</v>
      </c>
      <c r="F43" s="2">
        <v>619000</v>
      </c>
    </row>
    <row r="44" spans="1:6">
      <c r="A44" s="1">
        <v>53</v>
      </c>
      <c r="B44" t="s">
        <v>31</v>
      </c>
      <c r="C44">
        <v>2</v>
      </c>
      <c r="D44">
        <v>0</v>
      </c>
      <c r="E44" s="2">
        <v>231557000</v>
      </c>
      <c r="F44" s="2">
        <v>888000</v>
      </c>
    </row>
    <row r="45" spans="1:6">
      <c r="A45" s="1">
        <v>54</v>
      </c>
      <c r="B45" t="s">
        <v>32</v>
      </c>
      <c r="C45">
        <v>3</v>
      </c>
      <c r="D45">
        <v>0</v>
      </c>
      <c r="E45" s="2">
        <v>1813433000</v>
      </c>
      <c r="F45" s="2">
        <v>272000</v>
      </c>
    </row>
    <row r="46" spans="1:6">
      <c r="A46" s="1">
        <v>55</v>
      </c>
      <c r="B46" t="s">
        <v>94</v>
      </c>
      <c r="C46">
        <v>3</v>
      </c>
      <c r="D46">
        <v>0</v>
      </c>
    </row>
    <row r="47" spans="1:6">
      <c r="A47" s="1">
        <v>56</v>
      </c>
      <c r="B47" t="s">
        <v>95</v>
      </c>
      <c r="C47">
        <v>7</v>
      </c>
      <c r="D47">
        <v>0</v>
      </c>
      <c r="E47" s="2">
        <v>621098000</v>
      </c>
      <c r="F47" s="2">
        <v>60113</v>
      </c>
    </row>
    <row r="48" spans="1:6">
      <c r="A48" s="1">
        <v>57</v>
      </c>
      <c r="B48" t="s">
        <v>33</v>
      </c>
      <c r="C48">
        <v>7</v>
      </c>
      <c r="D48">
        <v>0</v>
      </c>
    </row>
    <row r="49" spans="1:6">
      <c r="A49" s="1">
        <v>58</v>
      </c>
      <c r="B49" t="s">
        <v>34</v>
      </c>
      <c r="C49">
        <v>8</v>
      </c>
      <c r="D49">
        <v>0</v>
      </c>
    </row>
    <row r="50" spans="1:6">
      <c r="A50" s="1">
        <v>59</v>
      </c>
      <c r="B50" t="s">
        <v>35</v>
      </c>
      <c r="C50">
        <v>7</v>
      </c>
      <c r="D50">
        <v>1</v>
      </c>
    </row>
    <row r="51" spans="1:6">
      <c r="A51" s="1">
        <v>60</v>
      </c>
      <c r="B51" t="s">
        <v>137</v>
      </c>
      <c r="C51">
        <v>8</v>
      </c>
      <c r="D51">
        <v>1</v>
      </c>
    </row>
    <row r="52" spans="1:6">
      <c r="A52" s="1">
        <v>61</v>
      </c>
      <c r="B52" t="s">
        <v>36</v>
      </c>
      <c r="C52">
        <v>0</v>
      </c>
      <c r="D52">
        <v>1</v>
      </c>
    </row>
    <row r="53" spans="1:6">
      <c r="A53" s="1">
        <v>63</v>
      </c>
      <c r="B53" s="1" t="s">
        <v>138</v>
      </c>
      <c r="C53">
        <v>0</v>
      </c>
      <c r="D53">
        <v>1</v>
      </c>
    </row>
    <row r="54" spans="1:6">
      <c r="A54" s="1">
        <v>64</v>
      </c>
      <c r="B54" t="s">
        <v>139</v>
      </c>
      <c r="C54">
        <v>0</v>
      </c>
      <c r="D54">
        <v>1</v>
      </c>
    </row>
    <row r="55" spans="1:6">
      <c r="A55" s="1">
        <v>65</v>
      </c>
      <c r="B55" t="s">
        <v>140</v>
      </c>
      <c r="C55">
        <v>0</v>
      </c>
      <c r="D55">
        <v>1</v>
      </c>
    </row>
    <row r="56" spans="1:6">
      <c r="A56" s="1">
        <v>66</v>
      </c>
      <c r="B56" t="s">
        <v>37</v>
      </c>
      <c r="C56">
        <v>5</v>
      </c>
      <c r="D56">
        <v>0</v>
      </c>
      <c r="E56" s="2">
        <v>690152000</v>
      </c>
      <c r="F56" s="2">
        <v>86500</v>
      </c>
    </row>
    <row r="57" spans="1:6">
      <c r="A57" s="1">
        <v>67</v>
      </c>
      <c r="B57" t="s">
        <v>38</v>
      </c>
      <c r="C57">
        <v>5</v>
      </c>
      <c r="D57">
        <v>0</v>
      </c>
      <c r="E57" s="2">
        <v>674625000</v>
      </c>
      <c r="F57" s="2">
        <v>76100</v>
      </c>
    </row>
    <row r="58" spans="1:6">
      <c r="A58" s="1">
        <v>68</v>
      </c>
      <c r="B58" t="s">
        <v>39</v>
      </c>
      <c r="C58">
        <v>5</v>
      </c>
      <c r="D58">
        <v>0</v>
      </c>
      <c r="E58" s="2">
        <v>3107472000</v>
      </c>
      <c r="F58" s="2">
        <v>302300</v>
      </c>
    </row>
    <row r="59" spans="1:6">
      <c r="A59" s="1">
        <v>69</v>
      </c>
      <c r="B59" t="s">
        <v>40</v>
      </c>
      <c r="C59">
        <v>5</v>
      </c>
      <c r="D59">
        <v>0</v>
      </c>
      <c r="E59" s="2">
        <v>996102000</v>
      </c>
      <c r="F59" s="2">
        <v>899000</v>
      </c>
    </row>
    <row r="60" spans="1:6">
      <c r="A60" s="1">
        <v>70</v>
      </c>
      <c r="B60" t="s">
        <v>41</v>
      </c>
      <c r="C60">
        <v>7</v>
      </c>
      <c r="D60">
        <v>0</v>
      </c>
    </row>
    <row r="61" spans="1:6">
      <c r="A61" s="1">
        <v>71</v>
      </c>
      <c r="B61" t="s">
        <v>42</v>
      </c>
      <c r="C61">
        <v>7</v>
      </c>
      <c r="D61">
        <v>0</v>
      </c>
    </row>
    <row r="62" spans="1:6">
      <c r="A62" s="1">
        <v>72</v>
      </c>
      <c r="B62" t="s">
        <v>43</v>
      </c>
      <c r="C62">
        <v>5</v>
      </c>
      <c r="D62">
        <v>0</v>
      </c>
      <c r="E62" s="2">
        <v>1529414000</v>
      </c>
      <c r="F62" s="2">
        <v>460800</v>
      </c>
    </row>
    <row r="63" spans="1:6">
      <c r="A63" s="1">
        <v>74</v>
      </c>
      <c r="B63" t="s">
        <v>44</v>
      </c>
      <c r="C63">
        <v>5</v>
      </c>
      <c r="D63">
        <v>0</v>
      </c>
      <c r="E63" s="2">
        <v>520177000</v>
      </c>
      <c r="F63" s="2">
        <v>442000</v>
      </c>
    </row>
    <row r="64" spans="1:6">
      <c r="A64" s="1">
        <v>75</v>
      </c>
      <c r="B64" t="s">
        <v>45</v>
      </c>
      <c r="C64">
        <v>5</v>
      </c>
      <c r="D64">
        <v>0</v>
      </c>
      <c r="E64" s="2">
        <v>3536400000</v>
      </c>
      <c r="F64" s="2">
        <v>1350000</v>
      </c>
    </row>
    <row r="65" spans="1:6">
      <c r="A65" s="1">
        <v>76</v>
      </c>
      <c r="B65" t="s">
        <v>46</v>
      </c>
      <c r="C65">
        <v>5</v>
      </c>
      <c r="D65">
        <v>0</v>
      </c>
      <c r="E65" s="2">
        <v>453600000</v>
      </c>
      <c r="F65" s="2">
        <v>400000</v>
      </c>
    </row>
    <row r="66" spans="1:6">
      <c r="A66" s="1">
        <v>77</v>
      </c>
      <c r="B66" t="s">
        <v>47</v>
      </c>
      <c r="C66">
        <v>5</v>
      </c>
      <c r="D66">
        <v>0</v>
      </c>
      <c r="E66" s="2">
        <v>353983000</v>
      </c>
      <c r="F66" s="2">
        <v>40700</v>
      </c>
    </row>
    <row r="67" spans="1:6">
      <c r="A67" s="1">
        <v>81</v>
      </c>
      <c r="B67" t="s">
        <v>142</v>
      </c>
      <c r="C67">
        <v>0</v>
      </c>
      <c r="D67">
        <v>1</v>
      </c>
    </row>
    <row r="68" spans="1:6">
      <c r="A68" s="1">
        <v>82</v>
      </c>
      <c r="B68" t="s">
        <v>143</v>
      </c>
      <c r="C68">
        <v>0</v>
      </c>
      <c r="D68">
        <v>1</v>
      </c>
    </row>
    <row r="69" spans="1:6">
      <c r="A69" s="1">
        <v>83</v>
      </c>
      <c r="B69" s="1" t="s">
        <v>144</v>
      </c>
      <c r="C69">
        <v>0</v>
      </c>
      <c r="D69">
        <v>1</v>
      </c>
    </row>
    <row r="70" spans="1:6">
      <c r="A70" s="1">
        <v>87</v>
      </c>
      <c r="B70" s="1" t="s">
        <v>145</v>
      </c>
      <c r="C70">
        <v>0</v>
      </c>
      <c r="D70">
        <v>1</v>
      </c>
    </row>
    <row r="71" spans="1:6">
      <c r="A71" s="1">
        <v>88</v>
      </c>
      <c r="B71" t="s">
        <v>146</v>
      </c>
      <c r="C71">
        <v>0</v>
      </c>
      <c r="D71">
        <v>1</v>
      </c>
    </row>
    <row r="72" spans="1:6">
      <c r="A72" s="1">
        <v>92</v>
      </c>
      <c r="B72" t="s">
        <v>48</v>
      </c>
      <c r="C72">
        <v>17</v>
      </c>
      <c r="D72">
        <v>1</v>
      </c>
    </row>
    <row r="73" spans="1:6">
      <c r="A73" s="1">
        <v>204</v>
      </c>
      <c r="B73" t="s">
        <v>49</v>
      </c>
      <c r="C73">
        <v>5</v>
      </c>
      <c r="D73">
        <v>0</v>
      </c>
      <c r="E73" s="2">
        <v>1861020000</v>
      </c>
      <c r="F73" s="2">
        <v>428000</v>
      </c>
    </row>
    <row r="74" spans="1:6">
      <c r="A74" s="1">
        <v>205</v>
      </c>
      <c r="B74" t="s">
        <v>50</v>
      </c>
      <c r="C74">
        <v>2</v>
      </c>
      <c r="D74">
        <v>0</v>
      </c>
    </row>
    <row r="75" spans="1:6">
      <c r="A75" s="1">
        <v>206</v>
      </c>
      <c r="B75" t="s">
        <v>51</v>
      </c>
      <c r="C75">
        <v>3</v>
      </c>
      <c r="D75">
        <v>0</v>
      </c>
      <c r="E75" s="2">
        <v>1294955000</v>
      </c>
      <c r="F75" s="2">
        <v>74500</v>
      </c>
    </row>
    <row r="76" spans="1:6">
      <c r="A76" s="1">
        <v>207</v>
      </c>
      <c r="B76" t="s">
        <v>96</v>
      </c>
      <c r="C76">
        <v>3</v>
      </c>
      <c r="D76">
        <v>0</v>
      </c>
      <c r="E76" s="2">
        <v>68442000</v>
      </c>
      <c r="F76" s="2">
        <v>16200</v>
      </c>
    </row>
    <row r="77" spans="1:6">
      <c r="A77" s="1">
        <v>208</v>
      </c>
      <c r="B77" t="s">
        <v>52</v>
      </c>
      <c r="C77">
        <v>3</v>
      </c>
      <c r="D77">
        <v>0</v>
      </c>
      <c r="E77" s="2">
        <v>314288000</v>
      </c>
      <c r="F77" s="2">
        <v>27800</v>
      </c>
    </row>
    <row r="78" spans="1:6">
      <c r="A78" s="1">
        <v>209</v>
      </c>
      <c r="B78" t="s">
        <v>53</v>
      </c>
      <c r="C78">
        <v>3</v>
      </c>
      <c r="D78">
        <v>0</v>
      </c>
      <c r="E78" s="2">
        <v>384931000</v>
      </c>
      <c r="F78" s="2">
        <v>45600</v>
      </c>
    </row>
    <row r="79" spans="1:6">
      <c r="A79" s="1">
        <v>210</v>
      </c>
      <c r="B79" t="s">
        <v>54</v>
      </c>
      <c r="C79">
        <v>5</v>
      </c>
      <c r="D79">
        <v>0</v>
      </c>
      <c r="E79" s="2">
        <v>5337000</v>
      </c>
      <c r="F79" s="2">
        <v>2420</v>
      </c>
    </row>
    <row r="80" spans="1:6">
      <c r="A80" s="1">
        <v>211</v>
      </c>
      <c r="B80" t="s">
        <v>55</v>
      </c>
      <c r="C80">
        <v>5</v>
      </c>
      <c r="D80">
        <v>0</v>
      </c>
      <c r="E80" s="2">
        <v>76297000</v>
      </c>
      <c r="F80" s="2">
        <v>42000</v>
      </c>
    </row>
    <row r="81" spans="1:6">
      <c r="A81" s="1">
        <v>212</v>
      </c>
      <c r="B81" t="s">
        <v>56</v>
      </c>
      <c r="C81">
        <v>5</v>
      </c>
      <c r="D81">
        <v>0</v>
      </c>
    </row>
    <row r="82" spans="1:6">
      <c r="A82" s="1">
        <v>213</v>
      </c>
      <c r="B82" t="s">
        <v>57</v>
      </c>
      <c r="C82">
        <v>3</v>
      </c>
      <c r="D82">
        <v>0</v>
      </c>
    </row>
    <row r="83" spans="1:6">
      <c r="A83" s="1">
        <v>214</v>
      </c>
      <c r="B83" t="s">
        <v>58</v>
      </c>
      <c r="C83">
        <v>3</v>
      </c>
      <c r="D83">
        <v>0</v>
      </c>
      <c r="E83" s="2">
        <v>1132775000</v>
      </c>
      <c r="F83" s="2">
        <v>127700</v>
      </c>
    </row>
    <row r="84" spans="1:6">
      <c r="A84" s="1">
        <v>215</v>
      </c>
      <c r="B84" t="s">
        <v>97</v>
      </c>
      <c r="C84">
        <v>5</v>
      </c>
      <c r="D84">
        <v>0</v>
      </c>
      <c r="E84" s="2">
        <v>502673000</v>
      </c>
      <c r="F84" s="2">
        <v>51730</v>
      </c>
    </row>
    <row r="85" spans="1:6">
      <c r="A85" s="1">
        <v>216</v>
      </c>
      <c r="B85" t="s">
        <v>59</v>
      </c>
      <c r="C85">
        <v>3</v>
      </c>
      <c r="D85">
        <v>0</v>
      </c>
      <c r="E85">
        <f>697435000+111569000</f>
        <v>809004000</v>
      </c>
      <c r="F85">
        <f>34200+11800</f>
        <v>46000</v>
      </c>
    </row>
    <row r="86" spans="1:6">
      <c r="A86" s="1">
        <v>217</v>
      </c>
      <c r="B86" t="s">
        <v>60</v>
      </c>
      <c r="C86">
        <v>5</v>
      </c>
      <c r="D86">
        <v>0</v>
      </c>
    </row>
    <row r="87" spans="1:6">
      <c r="A87" s="1">
        <v>218</v>
      </c>
      <c r="B87" t="s">
        <v>61</v>
      </c>
      <c r="C87">
        <v>5</v>
      </c>
      <c r="D87">
        <v>0</v>
      </c>
      <c r="E87" s="2">
        <v>169366000</v>
      </c>
      <c r="F87" s="2">
        <v>16300</v>
      </c>
    </row>
    <row r="88" spans="1:6">
      <c r="A88" s="1">
        <v>219</v>
      </c>
      <c r="B88" t="s">
        <v>62</v>
      </c>
      <c r="C88">
        <v>3</v>
      </c>
      <c r="D88">
        <v>0</v>
      </c>
    </row>
    <row r="89" spans="1:6">
      <c r="A89" s="1">
        <v>220</v>
      </c>
      <c r="B89" t="s">
        <v>63</v>
      </c>
      <c r="C89">
        <v>5</v>
      </c>
      <c r="D89">
        <v>0</v>
      </c>
    </row>
    <row r="90" spans="1:6">
      <c r="A90" s="1">
        <v>221</v>
      </c>
      <c r="B90" t="s">
        <v>64</v>
      </c>
      <c r="C90">
        <v>3</v>
      </c>
      <c r="D90">
        <v>0</v>
      </c>
      <c r="E90" s="2">
        <v>3259100000</v>
      </c>
      <c r="F90" s="2">
        <v>56300</v>
      </c>
    </row>
    <row r="91" spans="1:6">
      <c r="A91" s="1">
        <v>222</v>
      </c>
      <c r="B91" t="s">
        <v>65</v>
      </c>
      <c r="C91">
        <v>3</v>
      </c>
      <c r="D91">
        <v>0</v>
      </c>
      <c r="E91" s="2">
        <v>222396000</v>
      </c>
      <c r="F91" s="2">
        <v>42600</v>
      </c>
    </row>
    <row r="92" spans="1:6">
      <c r="A92" s="1">
        <v>223</v>
      </c>
      <c r="B92" t="s">
        <v>98</v>
      </c>
      <c r="C92">
        <v>5</v>
      </c>
      <c r="D92">
        <v>0</v>
      </c>
      <c r="E92" s="2">
        <v>28311000</v>
      </c>
      <c r="F92" s="2">
        <v>6290</v>
      </c>
    </row>
    <row r="93" spans="1:6">
      <c r="A93" s="1">
        <v>224</v>
      </c>
      <c r="B93" t="s">
        <v>99</v>
      </c>
      <c r="C93">
        <v>8</v>
      </c>
      <c r="D93">
        <v>0</v>
      </c>
    </row>
    <row r="94" spans="1:6">
      <c r="A94" s="1">
        <v>225</v>
      </c>
      <c r="B94" t="s">
        <v>66</v>
      </c>
      <c r="C94">
        <v>2</v>
      </c>
      <c r="D94">
        <v>0</v>
      </c>
    </row>
    <row r="95" spans="1:6">
      <c r="A95" s="1">
        <v>226</v>
      </c>
      <c r="B95" t="s">
        <v>67</v>
      </c>
      <c r="C95">
        <v>2</v>
      </c>
      <c r="D95">
        <v>0</v>
      </c>
    </row>
    <row r="96" spans="1:6">
      <c r="A96" s="1">
        <v>227</v>
      </c>
      <c r="B96" t="s">
        <v>68</v>
      </c>
      <c r="C96">
        <v>3</v>
      </c>
      <c r="D96">
        <v>0</v>
      </c>
      <c r="E96" s="2">
        <v>1800731000</v>
      </c>
      <c r="F96" s="2">
        <v>133500</v>
      </c>
    </row>
    <row r="97" spans="1:6">
      <c r="A97" s="1">
        <v>228</v>
      </c>
      <c r="B97" t="s">
        <v>69</v>
      </c>
      <c r="C97">
        <v>2</v>
      </c>
      <c r="D97">
        <v>0</v>
      </c>
    </row>
    <row r="98" spans="1:6">
      <c r="A98" s="1">
        <v>229</v>
      </c>
      <c r="B98" t="s">
        <v>70</v>
      </c>
      <c r="C98">
        <v>3</v>
      </c>
      <c r="D98">
        <v>0</v>
      </c>
      <c r="E98" s="2">
        <v>286091000</v>
      </c>
      <c r="F98" s="2">
        <v>71200</v>
      </c>
    </row>
    <row r="99" spans="1:6">
      <c r="A99" s="1">
        <v>230</v>
      </c>
      <c r="B99" t="s">
        <v>100</v>
      </c>
      <c r="C99">
        <v>3</v>
      </c>
      <c r="D99">
        <v>0</v>
      </c>
    </row>
    <row r="100" spans="1:6">
      <c r="A100" s="1">
        <v>231</v>
      </c>
      <c r="B100" t="s">
        <v>71</v>
      </c>
      <c r="C100">
        <v>3</v>
      </c>
      <c r="D100">
        <v>0</v>
      </c>
    </row>
    <row r="101" spans="1:6">
      <c r="A101" s="1">
        <v>232</v>
      </c>
      <c r="B101" t="s">
        <v>72</v>
      </c>
      <c r="C101">
        <v>3</v>
      </c>
      <c r="D101">
        <v>0</v>
      </c>
    </row>
    <row r="102" spans="1:6">
      <c r="A102" s="1">
        <v>233</v>
      </c>
      <c r="B102" t="s">
        <v>101</v>
      </c>
      <c r="C102">
        <v>3</v>
      </c>
      <c r="D102">
        <v>0</v>
      </c>
    </row>
    <row r="103" spans="1:6">
      <c r="A103" s="1">
        <v>234</v>
      </c>
      <c r="B103" t="s">
        <v>102</v>
      </c>
      <c r="C103">
        <v>2</v>
      </c>
      <c r="D103">
        <v>0</v>
      </c>
    </row>
    <row r="104" spans="1:6">
      <c r="A104" s="1">
        <v>235</v>
      </c>
      <c r="B104" t="s">
        <v>103</v>
      </c>
      <c r="C104">
        <v>2</v>
      </c>
      <c r="D104">
        <v>0</v>
      </c>
    </row>
    <row r="105" spans="1:6">
      <c r="A105" s="1">
        <v>236</v>
      </c>
      <c r="B105" t="s">
        <v>73</v>
      </c>
      <c r="C105">
        <v>2</v>
      </c>
      <c r="D105">
        <v>0</v>
      </c>
    </row>
    <row r="106" spans="1:6">
      <c r="A106" s="1">
        <v>237</v>
      </c>
      <c r="B106" t="s">
        <v>74</v>
      </c>
      <c r="C106">
        <v>2</v>
      </c>
      <c r="D106">
        <v>0</v>
      </c>
    </row>
    <row r="107" spans="1:6">
      <c r="A107" s="1">
        <v>238</v>
      </c>
      <c r="B107" t="s">
        <v>75</v>
      </c>
      <c r="C107">
        <v>2</v>
      </c>
      <c r="D107">
        <v>0</v>
      </c>
    </row>
    <row r="108" spans="1:6">
      <c r="A108" s="1">
        <v>239</v>
      </c>
      <c r="B108" t="s">
        <v>104</v>
      </c>
      <c r="C108">
        <v>2</v>
      </c>
      <c r="D108">
        <v>0</v>
      </c>
    </row>
    <row r="109" spans="1:6">
      <c r="A109" s="1">
        <v>240</v>
      </c>
      <c r="B109" t="s">
        <v>105</v>
      </c>
      <c r="C109">
        <v>2</v>
      </c>
      <c r="D109">
        <v>0</v>
      </c>
    </row>
    <row r="110" spans="1:6">
      <c r="A110" s="1">
        <v>241</v>
      </c>
      <c r="B110" t="s">
        <v>106</v>
      </c>
      <c r="C110">
        <v>2</v>
      </c>
      <c r="D110">
        <v>0</v>
      </c>
    </row>
    <row r="111" spans="1:6">
      <c r="A111" s="1">
        <v>242</v>
      </c>
      <c r="B111" t="s">
        <v>76</v>
      </c>
      <c r="C111">
        <v>5</v>
      </c>
      <c r="D111">
        <v>0</v>
      </c>
      <c r="E111" s="2">
        <v>1096115000</v>
      </c>
      <c r="F111" s="2">
        <v>104900</v>
      </c>
    </row>
    <row r="112" spans="1:6">
      <c r="A112" s="1">
        <v>243</v>
      </c>
      <c r="B112" t="s">
        <v>77</v>
      </c>
      <c r="C112">
        <v>3</v>
      </c>
      <c r="D112">
        <v>0</v>
      </c>
      <c r="E112" s="2">
        <v>632801000</v>
      </c>
      <c r="F112" s="2">
        <v>52600</v>
      </c>
    </row>
    <row r="113" spans="1:6">
      <c r="A113" s="1">
        <v>244</v>
      </c>
      <c r="B113" t="s">
        <v>78</v>
      </c>
      <c r="C113">
        <v>3</v>
      </c>
      <c r="D113">
        <v>0</v>
      </c>
      <c r="E113" s="2">
        <v>665642000</v>
      </c>
      <c r="F113" s="2">
        <v>47400</v>
      </c>
    </row>
    <row r="114" spans="1:6">
      <c r="A114" s="1">
        <v>245</v>
      </c>
      <c r="B114" t="s">
        <v>79</v>
      </c>
      <c r="C114">
        <v>3</v>
      </c>
      <c r="D114">
        <v>0</v>
      </c>
      <c r="E114" s="2">
        <v>450057000</v>
      </c>
      <c r="F114" s="2">
        <v>27500</v>
      </c>
    </row>
    <row r="115" spans="1:6">
      <c r="A115" s="1">
        <v>246</v>
      </c>
      <c r="B115" t="s">
        <v>80</v>
      </c>
      <c r="C115">
        <v>3</v>
      </c>
      <c r="D115">
        <v>0</v>
      </c>
      <c r="E115" s="2">
        <v>52851000</v>
      </c>
      <c r="F115" s="2">
        <v>14800</v>
      </c>
    </row>
    <row r="116" spans="1:6">
      <c r="A116" s="1">
        <v>247</v>
      </c>
      <c r="B116" t="s">
        <v>107</v>
      </c>
      <c r="C116">
        <v>3</v>
      </c>
      <c r="D116">
        <v>0</v>
      </c>
    </row>
    <row r="117" spans="1:6">
      <c r="A117" s="1">
        <v>248</v>
      </c>
      <c r="B117" t="s">
        <v>108</v>
      </c>
      <c r="C117">
        <v>3</v>
      </c>
      <c r="D117">
        <v>0</v>
      </c>
      <c r="E117" s="2">
        <v>21492000</v>
      </c>
      <c r="F117" s="2">
        <v>2800</v>
      </c>
    </row>
    <row r="118" spans="1:6">
      <c r="A118" s="1">
        <v>249</v>
      </c>
      <c r="B118" t="s">
        <v>109</v>
      </c>
      <c r="C118">
        <v>3</v>
      </c>
      <c r="D118">
        <v>0</v>
      </c>
    </row>
    <row r="119" spans="1:6">
      <c r="A119" s="1">
        <v>250</v>
      </c>
      <c r="B119" t="s">
        <v>110</v>
      </c>
      <c r="C119">
        <v>3</v>
      </c>
      <c r="D119">
        <v>0</v>
      </c>
      <c r="E119" s="2">
        <v>304220000</v>
      </c>
      <c r="F119" s="2">
        <v>36500</v>
      </c>
    </row>
    <row r="120" spans="1:6">
      <c r="A120" s="1">
        <v>254</v>
      </c>
      <c r="B120" t="s">
        <v>111</v>
      </c>
      <c r="C120">
        <v>2</v>
      </c>
      <c r="D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Cropscape_Bridge</vt:lpstr>
      <vt:lpstr>Tapesty_Bridge</vt:lpstr>
      <vt:lpstr>Tap_Ag_Sect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Watson, Philip (pwatson@uidaho.edu)</dc:creator>
  <cp:lastModifiedBy>Watson, Philip (pwatson@uidaho.edu)</cp:lastModifiedBy>
  <dcterms:created xsi:type="dcterms:W3CDTF">2024-07-25T21:11:19Z</dcterms:created>
  <dcterms:modified xsi:type="dcterms:W3CDTF">2024-07-26T17:25:01Z</dcterms:modified>
</cp:coreProperties>
</file>