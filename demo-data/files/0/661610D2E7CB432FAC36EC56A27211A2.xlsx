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vandalsuidaho.sharepoint.com/sites/Storage-COS/Documents/IIDS/MOLLY/PIS/Sarah Martonick/GRANTED/FINAL Docs/SUU/"/>
    </mc:Choice>
  </mc:AlternateContent>
  <xr:revisionPtr revIDLastSave="2" documentId="11_4DEEE5EB336FF641C39E7A0187E8910AAA81D4E1" xr6:coauthVersionLast="47" xr6:coauthVersionMax="47" xr10:uidLastSave="{0FD8937F-B896-4A0F-B98E-4CAFA4EB0391}"/>
  <bookViews>
    <workbookView xWindow="67080" yWindow="-3480" windowWidth="38640" windowHeight="21120" activeTab="2" xr2:uid="{00000000-000D-0000-FFFF-FFFF00000000}"/>
  </bookViews>
  <sheets>
    <sheet name="Year1" sheetId="1" r:id="rId1"/>
    <sheet name="Year2" sheetId="2" r:id="rId2"/>
    <sheet name="Year3" sheetId="3" r:id="rId3"/>
    <sheet name="Year4" sheetId="4" r:id="rId4"/>
    <sheet name="Year 5" sheetId="5" r:id="rId5"/>
    <sheet name="All Year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vP1kKZWAeDDFMiBxgZhx5/msvf8s+SVnksd0bIi3Oqo="/>
    </ext>
  </extLst>
</workbook>
</file>

<file path=xl/calcChain.xml><?xml version="1.0" encoding="utf-8"?>
<calcChain xmlns="http://schemas.openxmlformats.org/spreadsheetml/2006/main">
  <c r="J54" i="3" l="1"/>
  <c r="E54" i="1"/>
  <c r="F22" i="6"/>
  <c r="B22" i="6"/>
  <c r="F21" i="6"/>
  <c r="B21" i="6"/>
  <c r="G1" i="2" s="1"/>
  <c r="C21" i="6" s="1"/>
  <c r="G1" i="3" s="1"/>
  <c r="D21" i="6" s="1"/>
  <c r="G1" i="4" s="1"/>
  <c r="E21" i="6" s="1"/>
  <c r="A14" i="6"/>
  <c r="A13" i="6"/>
  <c r="A12" i="6"/>
  <c r="A11" i="6"/>
  <c r="F10" i="6"/>
  <c r="E10" i="6"/>
  <c r="D10" i="6"/>
  <c r="A10" i="6"/>
  <c r="E9" i="6"/>
  <c r="A9" i="6"/>
  <c r="F8" i="6"/>
  <c r="E8" i="6"/>
  <c r="D8" i="6"/>
  <c r="B8" i="6"/>
  <c r="A8" i="6"/>
  <c r="A5" i="6"/>
  <c r="A3" i="6"/>
  <c r="A2" i="6"/>
  <c r="A56" i="5"/>
  <c r="C54" i="5"/>
  <c r="A54" i="5"/>
  <c r="A52" i="5"/>
  <c r="J47" i="5"/>
  <c r="J51" i="5" s="1"/>
  <c r="J40" i="5"/>
  <c r="J32" i="5"/>
  <c r="J33" i="5" s="1"/>
  <c r="F9" i="6" s="1"/>
  <c r="J28" i="5"/>
  <c r="E17" i="5"/>
  <c r="D17" i="5"/>
  <c r="C17" i="5"/>
  <c r="A17" i="5"/>
  <c r="E16" i="5"/>
  <c r="D16" i="5"/>
  <c r="C16" i="5"/>
  <c r="A16" i="5"/>
  <c r="E15" i="5"/>
  <c r="D15" i="5"/>
  <c r="C15" i="5"/>
  <c r="G15" i="5" s="1"/>
  <c r="A15" i="5"/>
  <c r="E14" i="5"/>
  <c r="D14" i="5"/>
  <c r="C14" i="5"/>
  <c r="A14" i="5"/>
  <c r="E12" i="5"/>
  <c r="D12" i="5" s="1"/>
  <c r="C12" i="5"/>
  <c r="A12" i="5"/>
  <c r="E11" i="5"/>
  <c r="D11" i="5" s="1"/>
  <c r="C11" i="5"/>
  <c r="A11" i="5"/>
  <c r="E10" i="5"/>
  <c r="D10" i="5" s="1"/>
  <c r="C10" i="5"/>
  <c r="A10" i="5"/>
  <c r="E7" i="5"/>
  <c r="D7" i="5"/>
  <c r="C7" i="5"/>
  <c r="E6" i="5"/>
  <c r="D6" i="5" s="1"/>
  <c r="C6" i="5"/>
  <c r="A6" i="5"/>
  <c r="E5" i="5"/>
  <c r="D5" i="5" s="1"/>
  <c r="C5" i="5"/>
  <c r="A5" i="5"/>
  <c r="D4" i="5"/>
  <c r="C4" i="5"/>
  <c r="A4" i="5"/>
  <c r="B2" i="5"/>
  <c r="C1" i="5"/>
  <c r="A56" i="4"/>
  <c r="C54" i="4"/>
  <c r="A54" i="4"/>
  <c r="A52" i="4"/>
  <c r="J47" i="4"/>
  <c r="J51" i="4" s="1"/>
  <c r="J40" i="4"/>
  <c r="J33" i="4"/>
  <c r="J32" i="4"/>
  <c r="J28" i="4"/>
  <c r="F17" i="4"/>
  <c r="G17" i="4" s="1"/>
  <c r="E17" i="4"/>
  <c r="D17" i="4"/>
  <c r="C17" i="4"/>
  <c r="A17" i="4"/>
  <c r="E16" i="4"/>
  <c r="D16" i="4"/>
  <c r="C16" i="4"/>
  <c r="A16" i="4"/>
  <c r="E15" i="4"/>
  <c r="D15" i="4"/>
  <c r="G15" i="4" s="1"/>
  <c r="C15" i="4"/>
  <c r="A15" i="4"/>
  <c r="E14" i="4"/>
  <c r="D14" i="4"/>
  <c r="C14" i="4"/>
  <c r="A14" i="4"/>
  <c r="F12" i="4"/>
  <c r="E12" i="4"/>
  <c r="G12" i="4" s="1"/>
  <c r="C12" i="4"/>
  <c r="A12" i="4"/>
  <c r="E11" i="4"/>
  <c r="D11" i="4"/>
  <c r="C11" i="4"/>
  <c r="A11" i="4"/>
  <c r="F10" i="4"/>
  <c r="E10" i="4"/>
  <c r="D10" i="4" s="1"/>
  <c r="G10" i="4" s="1"/>
  <c r="C10" i="4"/>
  <c r="A10" i="4"/>
  <c r="E7" i="4"/>
  <c r="D7" i="4"/>
  <c r="C7" i="4"/>
  <c r="A7" i="4"/>
  <c r="F6" i="4"/>
  <c r="F6" i="5" s="1"/>
  <c r="G6" i="5" s="1"/>
  <c r="E6" i="4"/>
  <c r="D6" i="4" s="1"/>
  <c r="C6" i="4"/>
  <c r="A6" i="4"/>
  <c r="E5" i="4"/>
  <c r="D5" i="4"/>
  <c r="C5" i="4"/>
  <c r="A5" i="4"/>
  <c r="F4" i="4"/>
  <c r="F4" i="5" s="1"/>
  <c r="G4" i="5" s="1"/>
  <c r="D4" i="4"/>
  <c r="C4" i="4"/>
  <c r="A4" i="4"/>
  <c r="B2" i="4"/>
  <c r="C1" i="4"/>
  <c r="A56" i="3"/>
  <c r="C54" i="3"/>
  <c r="A54" i="3"/>
  <c r="A52" i="3"/>
  <c r="J51" i="3"/>
  <c r="J47" i="3"/>
  <c r="J40" i="3"/>
  <c r="J32" i="3"/>
  <c r="J33" i="3" s="1"/>
  <c r="D9" i="6" s="1"/>
  <c r="J28" i="3"/>
  <c r="F17" i="3"/>
  <c r="F17" i="5" s="1"/>
  <c r="G17" i="5" s="1"/>
  <c r="E17" i="3"/>
  <c r="D17" i="3"/>
  <c r="C17" i="3"/>
  <c r="A17" i="3"/>
  <c r="E16" i="3"/>
  <c r="D16" i="3"/>
  <c r="C16" i="3"/>
  <c r="A16" i="3"/>
  <c r="E15" i="3"/>
  <c r="D15" i="3"/>
  <c r="C15" i="3"/>
  <c r="G15" i="3" s="1"/>
  <c r="A15" i="3"/>
  <c r="E14" i="3"/>
  <c r="D14" i="3"/>
  <c r="C14" i="3"/>
  <c r="A14" i="3"/>
  <c r="F12" i="3"/>
  <c r="F12" i="5" s="1"/>
  <c r="G12" i="5" s="1"/>
  <c r="E12" i="3"/>
  <c r="D12" i="3"/>
  <c r="C12" i="3"/>
  <c r="A12" i="3"/>
  <c r="E11" i="3"/>
  <c r="D11" i="3"/>
  <c r="C11" i="3"/>
  <c r="A11" i="3"/>
  <c r="F10" i="3"/>
  <c r="F10" i="5" s="1"/>
  <c r="E10" i="3"/>
  <c r="D10" i="3"/>
  <c r="C10" i="3"/>
  <c r="A10" i="3"/>
  <c r="E7" i="3"/>
  <c r="D7" i="3" s="1"/>
  <c r="C7" i="3"/>
  <c r="A7" i="3"/>
  <c r="F6" i="3"/>
  <c r="E6" i="3"/>
  <c r="D6" i="3" s="1"/>
  <c r="C6" i="3"/>
  <c r="A6" i="3"/>
  <c r="E5" i="3"/>
  <c r="D5" i="3" s="1"/>
  <c r="C5" i="3"/>
  <c r="A5" i="3"/>
  <c r="F4" i="3"/>
  <c r="G4" i="3" s="1"/>
  <c r="D4" i="3"/>
  <c r="C4" i="3"/>
  <c r="A4" i="3"/>
  <c r="B2" i="3"/>
  <c r="C1" i="3"/>
  <c r="A56" i="2"/>
  <c r="C54" i="2"/>
  <c r="A54" i="2"/>
  <c r="A52" i="2"/>
  <c r="J51" i="2"/>
  <c r="J40" i="2"/>
  <c r="C10" i="6" s="1"/>
  <c r="J33" i="2"/>
  <c r="C9" i="6" s="1"/>
  <c r="J28" i="2"/>
  <c r="C8" i="6" s="1"/>
  <c r="F17" i="2"/>
  <c r="E17" i="2"/>
  <c r="D17" i="2"/>
  <c r="G17" i="2" s="1"/>
  <c r="I17" i="2" s="1"/>
  <c r="C17" i="2"/>
  <c r="A17" i="2"/>
  <c r="F16" i="2"/>
  <c r="F16" i="3" s="1"/>
  <c r="E16" i="2"/>
  <c r="D16" i="2"/>
  <c r="C16" i="2"/>
  <c r="A16" i="2"/>
  <c r="E15" i="2"/>
  <c r="D15" i="2"/>
  <c r="C15" i="2"/>
  <c r="G15" i="2" s="1"/>
  <c r="A15" i="2"/>
  <c r="F14" i="2"/>
  <c r="G14" i="2" s="1"/>
  <c r="E14" i="2"/>
  <c r="D14" i="2"/>
  <c r="C14" i="2"/>
  <c r="A14" i="2"/>
  <c r="G12" i="2"/>
  <c r="F12" i="2"/>
  <c r="E12" i="2"/>
  <c r="D12" i="2" s="1"/>
  <c r="C12" i="2"/>
  <c r="A12" i="2"/>
  <c r="F11" i="2"/>
  <c r="G11" i="2" s="1"/>
  <c r="E11" i="2"/>
  <c r="D11" i="2" s="1"/>
  <c r="C11" i="2"/>
  <c r="A11" i="2"/>
  <c r="F10" i="2"/>
  <c r="E10" i="2"/>
  <c r="D10" i="2" s="1"/>
  <c r="G10" i="2" s="1"/>
  <c r="C10" i="2"/>
  <c r="A10" i="2"/>
  <c r="F7" i="2"/>
  <c r="F7" i="3" s="1"/>
  <c r="E7" i="2"/>
  <c r="D7" i="2"/>
  <c r="C7" i="2"/>
  <c r="A7" i="2"/>
  <c r="F6" i="2"/>
  <c r="G6" i="2" s="1"/>
  <c r="E6" i="2"/>
  <c r="D6" i="2"/>
  <c r="C6" i="2"/>
  <c r="A6" i="2"/>
  <c r="F5" i="2"/>
  <c r="F5" i="3" s="1"/>
  <c r="E5" i="2"/>
  <c r="D5" i="2"/>
  <c r="C5" i="2"/>
  <c r="A5" i="2"/>
  <c r="F4" i="2"/>
  <c r="G4" i="2" s="1"/>
  <c r="E4" i="2"/>
  <c r="D4" i="2"/>
  <c r="C4" i="2"/>
  <c r="A4" i="2"/>
  <c r="B2" i="2"/>
  <c r="I1" i="2"/>
  <c r="C22" i="6" s="1"/>
  <c r="I1" i="3" s="1"/>
  <c r="D22" i="6" s="1"/>
  <c r="I1" i="4" s="1"/>
  <c r="E22" i="6" s="1"/>
  <c r="C1" i="2"/>
  <c r="J47" i="1"/>
  <c r="J51" i="1" s="1"/>
  <c r="J39" i="1"/>
  <c r="J40" i="1" s="1"/>
  <c r="B10" i="6" s="1"/>
  <c r="J33" i="1"/>
  <c r="B9" i="6" s="1"/>
  <c r="J28" i="1"/>
  <c r="I17" i="1"/>
  <c r="G17" i="1"/>
  <c r="J17" i="1" s="1"/>
  <c r="I16" i="1"/>
  <c r="J16" i="1" s="1"/>
  <c r="G16" i="1"/>
  <c r="I15" i="1"/>
  <c r="J15" i="1" s="1"/>
  <c r="G15" i="1"/>
  <c r="G14" i="1"/>
  <c r="I14" i="1" s="1"/>
  <c r="J14" i="1" s="1"/>
  <c r="G12" i="1"/>
  <c r="D12" i="1"/>
  <c r="I11" i="1"/>
  <c r="G11" i="1"/>
  <c r="J11" i="1" s="1"/>
  <c r="D11" i="1"/>
  <c r="D10" i="1"/>
  <c r="G10" i="1" s="1"/>
  <c r="D7" i="1"/>
  <c r="G7" i="1" s="1"/>
  <c r="D6" i="1"/>
  <c r="G6" i="1" s="1"/>
  <c r="G5" i="1"/>
  <c r="D5" i="1"/>
  <c r="D4" i="1"/>
  <c r="G4" i="1" s="1"/>
  <c r="I17" i="4" l="1"/>
  <c r="J17" i="4" s="1"/>
  <c r="I4" i="2"/>
  <c r="J4" i="2"/>
  <c r="J14" i="2"/>
  <c r="I14" i="2"/>
  <c r="F7" i="5"/>
  <c r="G7" i="5" s="1"/>
  <c r="F7" i="4"/>
  <c r="G7" i="4" s="1"/>
  <c r="G7" i="3"/>
  <c r="I10" i="2"/>
  <c r="J10" i="2" s="1"/>
  <c r="F11" i="6"/>
  <c r="J15" i="2"/>
  <c r="I15" i="2"/>
  <c r="E11" i="6"/>
  <c r="G8" i="1"/>
  <c r="J4" i="1"/>
  <c r="I4" i="1"/>
  <c r="G6" i="3"/>
  <c r="I10" i="4"/>
  <c r="J10" i="4" s="1"/>
  <c r="I15" i="4"/>
  <c r="J15" i="4" s="1"/>
  <c r="I15" i="5"/>
  <c r="J15" i="5" s="1"/>
  <c r="J4" i="5"/>
  <c r="I4" i="5"/>
  <c r="I17" i="5"/>
  <c r="J17" i="5" s="1"/>
  <c r="I6" i="2"/>
  <c r="J6" i="2" s="1"/>
  <c r="F16" i="4"/>
  <c r="G16" i="4" s="1"/>
  <c r="F16" i="5"/>
  <c r="G16" i="5" s="1"/>
  <c r="G16" i="3"/>
  <c r="I6" i="5"/>
  <c r="J6" i="5" s="1"/>
  <c r="F5" i="4"/>
  <c r="G5" i="3"/>
  <c r="G9" i="6"/>
  <c r="J7" i="1"/>
  <c r="I7" i="1"/>
  <c r="J11" i="2"/>
  <c r="I11" i="2"/>
  <c r="I15" i="3"/>
  <c r="J15" i="3" s="1"/>
  <c r="G8" i="6"/>
  <c r="I4" i="3"/>
  <c r="J4" i="3" s="1"/>
  <c r="J5" i="1"/>
  <c r="I12" i="5"/>
  <c r="J12" i="5" s="1"/>
  <c r="I6" i="1"/>
  <c r="J6" i="1" s="1"/>
  <c r="G10" i="6"/>
  <c r="G18" i="1"/>
  <c r="B3" i="6" s="1"/>
  <c r="I10" i="1"/>
  <c r="J10" i="1" s="1"/>
  <c r="B11" i="6"/>
  <c r="G10" i="5"/>
  <c r="I12" i="4"/>
  <c r="J12" i="4" s="1"/>
  <c r="G5" i="2"/>
  <c r="G17" i="3"/>
  <c r="G10" i="3"/>
  <c r="F11" i="3"/>
  <c r="I12" i="2"/>
  <c r="J12" i="2" s="1"/>
  <c r="F14" i="3"/>
  <c r="D12" i="4"/>
  <c r="I5" i="1"/>
  <c r="G4" i="4"/>
  <c r="G6" i="4"/>
  <c r="I12" i="1"/>
  <c r="J12" i="1" s="1"/>
  <c r="C11" i="6"/>
  <c r="D11" i="6"/>
  <c r="G7" i="2"/>
  <c r="G16" i="2"/>
  <c r="I16" i="2" s="1"/>
  <c r="G12" i="3"/>
  <c r="F14" i="4" l="1"/>
  <c r="G14" i="4" s="1"/>
  <c r="F14" i="5"/>
  <c r="G14" i="5" s="1"/>
  <c r="G14" i="3"/>
  <c r="G5" i="4"/>
  <c r="F5" i="5"/>
  <c r="G5" i="5" s="1"/>
  <c r="G18" i="2"/>
  <c r="C3" i="6" s="1"/>
  <c r="I5" i="3"/>
  <c r="J5" i="3" s="1"/>
  <c r="I5" i="2"/>
  <c r="J5" i="2" s="1"/>
  <c r="J20" i="2" s="1"/>
  <c r="I16" i="3"/>
  <c r="J16" i="3" s="1"/>
  <c r="I7" i="3"/>
  <c r="J7" i="3" s="1"/>
  <c r="G8" i="3"/>
  <c r="I12" i="3"/>
  <c r="J12" i="3" s="1"/>
  <c r="I16" i="5"/>
  <c r="J16" i="5" s="1"/>
  <c r="I6" i="3"/>
  <c r="J6" i="3" s="1"/>
  <c r="I7" i="4"/>
  <c r="J7" i="4" s="1"/>
  <c r="I7" i="5"/>
  <c r="J7" i="5"/>
  <c r="I10" i="3"/>
  <c r="J10" i="3"/>
  <c r="G18" i="3"/>
  <c r="D3" i="6" s="1"/>
  <c r="I16" i="4"/>
  <c r="J16" i="4" s="1"/>
  <c r="J7" i="2"/>
  <c r="I7" i="2"/>
  <c r="I10" i="5"/>
  <c r="J10" i="5" s="1"/>
  <c r="J20" i="1"/>
  <c r="I8" i="1"/>
  <c r="I20" i="1" s="1"/>
  <c r="B5" i="6" s="1"/>
  <c r="G20" i="1"/>
  <c r="B2" i="6"/>
  <c r="G11" i="6"/>
  <c r="I20" i="2"/>
  <c r="C5" i="6" s="1"/>
  <c r="I6" i="4"/>
  <c r="J6" i="4" s="1"/>
  <c r="G8" i="2"/>
  <c r="F11" i="5"/>
  <c r="G11" i="5" s="1"/>
  <c r="G18" i="5" s="1"/>
  <c r="F3" i="6" s="1"/>
  <c r="F11" i="4"/>
  <c r="G11" i="4" s="1"/>
  <c r="G11" i="3"/>
  <c r="I17" i="3"/>
  <c r="J17" i="3" s="1"/>
  <c r="I4" i="4"/>
  <c r="J4" i="4"/>
  <c r="G8" i="4"/>
  <c r="E54" i="2" l="1"/>
  <c r="J54" i="2" s="1"/>
  <c r="C13" i="6" s="1"/>
  <c r="J52" i="2"/>
  <c r="E2" i="6"/>
  <c r="E4" i="6" s="1"/>
  <c r="G20" i="4"/>
  <c r="I5" i="5"/>
  <c r="I20" i="5" s="1"/>
  <c r="F5" i="6" s="1"/>
  <c r="G8" i="5"/>
  <c r="I5" i="4"/>
  <c r="J5" i="4" s="1"/>
  <c r="J20" i="4" s="1"/>
  <c r="G20" i="3"/>
  <c r="D2" i="6"/>
  <c r="D4" i="6" s="1"/>
  <c r="J14" i="3"/>
  <c r="I14" i="3"/>
  <c r="B4" i="6"/>
  <c r="B6" i="6" s="1"/>
  <c r="I11" i="4"/>
  <c r="J11" i="4"/>
  <c r="G18" i="4"/>
  <c r="E3" i="6" s="1"/>
  <c r="G3" i="6" s="1"/>
  <c r="I14" i="5"/>
  <c r="J14" i="5" s="1"/>
  <c r="J54" i="1"/>
  <c r="B13" i="6" s="1"/>
  <c r="J52" i="1"/>
  <c r="I14" i="4"/>
  <c r="J14" i="4" s="1"/>
  <c r="I11" i="3"/>
  <c r="I20" i="3" s="1"/>
  <c r="D5" i="6" s="1"/>
  <c r="J11" i="5"/>
  <c r="I11" i="5"/>
  <c r="G20" i="2"/>
  <c r="C2" i="6"/>
  <c r="C4" i="6" s="1"/>
  <c r="C6" i="6" s="1"/>
  <c r="E54" i="4" l="1"/>
  <c r="J54" i="4" s="1"/>
  <c r="E13" i="6" s="1"/>
  <c r="J52" i="4"/>
  <c r="D6" i="6"/>
  <c r="I20" i="4"/>
  <c r="E5" i="6" s="1"/>
  <c r="G5" i="6" s="1"/>
  <c r="J56" i="1"/>
  <c r="B12" i="6"/>
  <c r="J11" i="3"/>
  <c r="J20" i="3" s="1"/>
  <c r="E6" i="6"/>
  <c r="F2" i="6"/>
  <c r="F4" i="6" s="1"/>
  <c r="F6" i="6" s="1"/>
  <c r="G20" i="5"/>
  <c r="J56" i="2"/>
  <c r="C12" i="6"/>
  <c r="C14" i="6" s="1"/>
  <c r="G2" i="6"/>
  <c r="G4" i="6" s="1"/>
  <c r="J5" i="5"/>
  <c r="J20" i="5" s="1"/>
  <c r="B14" i="6" l="1"/>
  <c r="E54" i="5"/>
  <c r="J54" i="5" s="1"/>
  <c r="F13" i="6" s="1"/>
  <c r="J52" i="5"/>
  <c r="E54" i="3"/>
  <c r="D13" i="6" s="1"/>
  <c r="G13" i="6" s="1"/>
  <c r="J52" i="3"/>
  <c r="G6" i="6"/>
  <c r="J56" i="4"/>
  <c r="E12" i="6"/>
  <c r="E14" i="6" s="1"/>
  <c r="J56" i="3" l="1"/>
  <c r="D12" i="6"/>
  <c r="F12" i="6"/>
  <c r="F14" i="6" s="1"/>
  <c r="J56" i="5"/>
  <c r="D14" i="6" l="1"/>
  <c r="G12" i="6"/>
  <c r="G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ID#AAAA4u2I5Bc
    (2023-09-09 00:46:39)
Please insert YEAR ONE start date here and the remaining years will auto-fill.</t>
        </r>
      </text>
    </comment>
    <comment ref="I1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ID#AAAA4u2I5B0
    (2023-09-09 00:46:39)
Please insert YEAR ONE end date here and the remaining years will auto-fill.</t>
        </r>
      </text>
    </comment>
    <comment ref="H3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ID#AAAA4u2I5BQ
Jenn Stewart    (2023-09-09 00:46:39)
Faculty - 23.5% (Summer-months/off-contract rate)
Staff - 23.5% + $18,000 per year
(Faculty use staff rate if on-contract months apply)</t>
        </r>
      </text>
    </comment>
    <comment ref="H9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ID#AAAA4u2I5Bw
Jenn Stewart    (2023-09-09 00:46:39)
Faculty - 23.5% (Summer-months/off-contract rate)
Staff - 23.5% + $18,000 per year
(Faculty use staff rate if on-contract months apply)</t>
        </r>
      </text>
    </comment>
    <comment ref="I10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ID#AAAA4MGmcZ8
tc={12FCFDCF-4563-4125-86E4-BF706A81F1EC}    (2023-09-12 17:17:13)
[Threaded comment]
Your version of Excel allows you to read this threaded comment; however, any edits to it will get removed if the file is opened in a newer version of Excel. Learn more: https://go.microsoft.com/fwlink/?linkid=870924
Comment:
    Change this formula to match those below if this ends up not being a faculty line.</t>
        </r>
      </text>
    </comment>
    <comment ref="H13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ID#AAAA4u2I5BY
Jenn Stewart    (2023-09-09 00:46:39)
HN - 9.5% (Hourly non-student)
HS - 7.0 % (SUU full time student)
WS - 2.0% (Work Study)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TrY+rMosh0CR/3+5x+ihd8A57m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ID#AAAA4u2I5Bo
Jenn Stewart    (2023-09-09 00:46:39)
Faculty - 23.5% (Summer-months/off-contract rate)
Staff - 23.5% + $18,000 per year
(Faculty use staff rate if on-contract months apply)</t>
        </r>
      </text>
    </comment>
    <comment ref="H9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ID#AAAA4u2I5Bk
Jenn Stewart    (2023-09-09 00:46:39)
Faculty - 23.5% (Summer-months/off-contract rate)
Staff - 23.5% + $18,000 per year
(Faculty use staff rate if on-contract months apply)</t>
        </r>
      </text>
    </comment>
    <comment ref="H13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ID#AAAA4u2I5Bg
Jenn Stewart    (2023-09-09 00:46:39)
HN - 9.5% (Hourly non-student)
HS - 7.0 % (SUU full time student)
WS - 2.0% (Work Study)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o/Lp7wkYQ87gwfCuJYQyF2UV8Z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ID#AAAA4u2I5B4
Jenn Stewart    (2023-09-09 00:46:39)
Faculty - 23.5% (Summer-months/off-contract rate)
Staff - 23.5% + $18,000 per year
(Faculty use staff rate if on-contract months apply)</t>
        </r>
      </text>
    </comment>
    <comment ref="H9" authorId="0" shapeId="0" xr:uid="{00000000-0006-0000-0200-000002000000}">
      <text>
        <r>
          <rPr>
            <sz val="10"/>
            <color rgb="FF000000"/>
            <rFont val="Arial"/>
            <scheme val="minor"/>
          </rPr>
          <t>======
ID#AAAA4u2I5Bs
Jenn Stewart    (2023-09-09 00:46:39)
Faculty - 23.5% (Summer-months/off-contract rate)
Staff - 23.5% + $18,000 per year
(Faculty use staff rate if on-contract months apply)</t>
        </r>
      </text>
    </comment>
    <comment ref="H13" authorId="0" shapeId="0" xr:uid="{00000000-0006-0000-0200-000003000000}">
      <text>
        <r>
          <rPr>
            <sz val="10"/>
            <color rgb="FF000000"/>
            <rFont val="Arial"/>
            <scheme val="minor"/>
          </rPr>
          <t>======
ID#AAAA4u2I5BU
Jenn Stewart    (2023-09-09 00:46:39)
HN - 9.5% (Hourly non-student)
HS - 7.0 % (SUU full time student)
WS - 2.0% (Work Study)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Sx26uUz5jo5myDGsJDHSOH9EFG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" authorId="0" shapeId="0" xr:uid="{00000000-0006-0000-0300-000002000000}">
      <text>
        <r>
          <rPr>
            <sz val="10"/>
            <color rgb="FF000000"/>
            <rFont val="Arial"/>
            <scheme val="minor"/>
          </rPr>
          <t>======
ID#AAAA_ImWauE
Jenn Stewart    (2023-09-09 00:46:39)
Faculty - 23.5% (Summer-months/off-contract rate)
Staff - 23.5% + $18,000 per year
(Faculty use staff rate if on-contract months apply)</t>
        </r>
      </text>
    </comment>
    <comment ref="H9" authorId="0" shapeId="0" xr:uid="{00000000-0006-0000-0300-000003000000}">
      <text>
        <r>
          <rPr>
            <sz val="10"/>
            <color rgb="FF000000"/>
            <rFont val="Arial"/>
            <scheme val="minor"/>
          </rPr>
          <t>======
ID#AAAA_ImWauA
Jenn Stewart    (2023-09-09 00:46:39)
Faculty - 23.5% (Summer-months/off-contract rate)
Staff - 23.5% + $18,000 per year
(Faculty use staff rate if on-contract months apply)</t>
        </r>
      </text>
    </comment>
    <comment ref="H13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ID#AAAA_ImWauI
Jenn Stewart    (2023-09-09 00:46:39)
HN - 9.5% (Hourly non-student)
HS - 7.0 % (SUU full time student)
WS - 2.0% (Work Study)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5fTkS4pgpsFeNwxceWHWhwx6wMQ=="/>
    </ext>
  </extLst>
</comments>
</file>

<file path=xl/sharedStrings.xml><?xml version="1.0" encoding="utf-8"?>
<sst xmlns="http://schemas.openxmlformats.org/spreadsheetml/2006/main" count="409" uniqueCount="99">
  <si>
    <t xml:space="preserve">              Principal Investigator:                       </t>
  </si>
  <si>
    <t>Sylvia Bradshaw</t>
  </si>
  <si>
    <t>Start Date:</t>
  </si>
  <si>
    <t>End Date:</t>
  </si>
  <si>
    <t>Year 1</t>
  </si>
  <si>
    <t xml:space="preserve">Title:  </t>
  </si>
  <si>
    <t>NSF GRANTED - University of Idaho</t>
  </si>
  <si>
    <t>* Input data into Year 1. If the effort (% or hours/week) is the same from year to year, it will auto-fill remaining years. If different, manually adjust effort in subsequent years.</t>
  </si>
  <si>
    <t>A. Senior Personnel</t>
  </si>
  <si>
    <t>Role</t>
  </si>
  <si>
    <t>Months</t>
  </si>
  <si>
    <t>% Effort</t>
  </si>
  <si>
    <t>Base Salary</t>
  </si>
  <si>
    <t>Salary Request</t>
  </si>
  <si>
    <t xml:space="preserve">% Fringe </t>
  </si>
  <si>
    <t>Benefits</t>
  </si>
  <si>
    <t>Total</t>
  </si>
  <si>
    <t>PI</t>
  </si>
  <si>
    <t>Katie Gomez</t>
  </si>
  <si>
    <t>TBD - Data Analyst</t>
  </si>
  <si>
    <t>Name here (e.g., co-PI, Sr. Personnel)</t>
  </si>
  <si>
    <t>Senior Personnel Subtotal</t>
  </si>
  <si>
    <t>B. Other Personnel</t>
  </si>
  <si>
    <t>Postdoctoral Scholars (*faculty benefit rate)</t>
  </si>
  <si>
    <t>Other Professionals (**staff benefit rate)</t>
  </si>
  <si>
    <t>How Many</t>
  </si>
  <si>
    <t># of wks</t>
  </si>
  <si>
    <t>Hrs/wk</t>
  </si>
  <si>
    <t>Base Rate</t>
  </si>
  <si>
    <t>Wage Request</t>
  </si>
  <si>
    <t>Graduate Students (*student benefit rate)</t>
  </si>
  <si>
    <t>Undergraduate Students (*student benefit rate)</t>
  </si>
  <si>
    <t>1</t>
  </si>
  <si>
    <t>Administrative/Clerical (**non-Student benefit rate)</t>
  </si>
  <si>
    <t>Other (**non-student benefit rate)</t>
  </si>
  <si>
    <t>Other Personnel Subtotal</t>
  </si>
  <si>
    <t>C. Fringe Benefits</t>
  </si>
  <si>
    <t>+</t>
  </si>
  <si>
    <t>Subtotals</t>
  </si>
  <si>
    <t>Total Salary/Wage</t>
  </si>
  <si>
    <t>Total Benefits  =</t>
  </si>
  <si>
    <t>Total SWB</t>
  </si>
  <si>
    <t>Additional Direct Costs</t>
  </si>
  <si>
    <t>(Enter for EVERY year that applies)</t>
  </si>
  <si>
    <r>
      <rPr>
        <b/>
        <sz val="10"/>
        <color theme="1"/>
        <rFont val="Arial"/>
      </rPr>
      <t xml:space="preserve">D. Equipment   </t>
    </r>
    <r>
      <rPr>
        <sz val="10"/>
        <color theme="1"/>
        <rFont val="Arial"/>
      </rPr>
      <t xml:space="preserve">                                       </t>
    </r>
  </si>
  <si>
    <t xml:space="preserve">(Note: Minimum $5,000 per item)                           </t>
  </si>
  <si>
    <t>Add description of equipment here…</t>
  </si>
  <si>
    <t>E. Travel</t>
  </si>
  <si>
    <t>1. Travel to UI for 3 people - Each person will have airfare $500, hotel 2 nights $450, per diem $175, $1,125 each</t>
  </si>
  <si>
    <t>2. Data Analyst - NCURA trainings- Fundamentals and NCURA Regional Meeting - $2,500 each</t>
  </si>
  <si>
    <t>F. Participant Support Costs</t>
  </si>
  <si>
    <t>Number of Participants – Add # to yellow cell to the right</t>
  </si>
  <si>
    <t>Stipends – Detail here, if applies</t>
  </si>
  <si>
    <t>Travel – Detail here, if applies</t>
  </si>
  <si>
    <t>Subsistence – Per diem. Detail here, if applies</t>
  </si>
  <si>
    <t>Other – PUI Committee Convening - Travel stipends up to $1,250/participant, 8 participants</t>
  </si>
  <si>
    <t>G. Other Direct Costs</t>
  </si>
  <si>
    <t>Materials &amp; Supplies – Detail here, if applies</t>
  </si>
  <si>
    <t>Publication Costs/Documentation/Distrib – Detail here, if applies</t>
  </si>
  <si>
    <t>Consultant Services – Detail here, if applies</t>
  </si>
  <si>
    <t>Computer Services – Detail here, if applies</t>
  </si>
  <si>
    <r>
      <rPr>
        <sz val="10"/>
        <color theme="1"/>
        <rFont val="Arial"/>
      </rPr>
      <t xml:space="preserve">Subawards/Subcontracts </t>
    </r>
    <r>
      <rPr>
        <b/>
        <i/>
        <sz val="10"/>
        <color theme="1"/>
        <rFont val="Arial"/>
      </rPr>
      <t>-</t>
    </r>
    <r>
      <rPr>
        <b/>
        <i/>
        <sz val="11"/>
        <color rgb="FFFF6600"/>
        <rFont val="Arial"/>
      </rPr>
      <t xml:space="preserve"> </t>
    </r>
    <r>
      <rPr>
        <b/>
        <i/>
        <sz val="10"/>
        <color rgb="FFFF6600"/>
        <rFont val="Arial"/>
      </rPr>
      <t>Indirect Costs are charged up to the first $25,000 onl</t>
    </r>
    <r>
      <rPr>
        <b/>
        <i/>
        <sz val="11"/>
        <color rgb="FFFF6600"/>
        <rFont val="Arial"/>
      </rPr>
      <t xml:space="preserve">y                        </t>
    </r>
  </si>
  <si>
    <t>Subaward Total</t>
  </si>
  <si>
    <t>A.</t>
  </si>
  <si>
    <t>Subcontract/Subaward</t>
  </si>
  <si>
    <t>B.</t>
  </si>
  <si>
    <t>C.</t>
  </si>
  <si>
    <t>H. Total Direct Costs (A-G)</t>
  </si>
  <si>
    <t>F&amp;A Base</t>
  </si>
  <si>
    <t>F&amp;A Rate</t>
  </si>
  <si>
    <t xml:space="preserve">I. Indirect Costs </t>
  </si>
  <si>
    <t>(Salaries, Wages, Fringe Benefits)</t>
  </si>
  <si>
    <t>J. Total Amount Requested (H + I)</t>
  </si>
  <si>
    <t>YEAR 1 TOTAL</t>
  </si>
  <si>
    <t>*Note: This electronic form contains formulas that may be corrupted when adding or deleting rows, or deleting certain cells.</t>
  </si>
  <si>
    <t>Year 2</t>
  </si>
  <si>
    <r>
      <rPr>
        <b/>
        <sz val="10"/>
        <color theme="1"/>
        <rFont val="Arial"/>
      </rPr>
      <t xml:space="preserve">D. Equipment   </t>
    </r>
    <r>
      <rPr>
        <sz val="10"/>
        <color theme="1"/>
        <rFont val="Arial"/>
      </rPr>
      <t xml:space="preserve">                                       </t>
    </r>
  </si>
  <si>
    <t>F. Participant Support Costs for Students</t>
  </si>
  <si>
    <r>
      <rPr>
        <sz val="10"/>
        <color theme="1"/>
        <rFont val="Arial"/>
      </rPr>
      <t xml:space="preserve">Subawards/Subcontracts </t>
    </r>
    <r>
      <rPr>
        <b/>
        <i/>
        <sz val="10"/>
        <color theme="1"/>
        <rFont val="Arial"/>
      </rPr>
      <t>-</t>
    </r>
    <r>
      <rPr>
        <b/>
        <i/>
        <sz val="11"/>
        <color rgb="FFFF6600"/>
        <rFont val="Arial"/>
      </rPr>
      <t xml:space="preserve"> </t>
    </r>
    <r>
      <rPr>
        <b/>
        <i/>
        <sz val="10"/>
        <color rgb="FFFF6600"/>
        <rFont val="Arial"/>
      </rPr>
      <t>Indirect Costs are charged up to the first $25,000 onl</t>
    </r>
    <r>
      <rPr>
        <b/>
        <i/>
        <sz val="11"/>
        <color rgb="FFFF6600"/>
        <rFont val="Arial"/>
      </rPr>
      <t xml:space="preserve">y                        </t>
    </r>
  </si>
  <si>
    <t>YEAR 2 TOTAL</t>
  </si>
  <si>
    <t>Year 3</t>
  </si>
  <si>
    <r>
      <rPr>
        <b/>
        <sz val="10"/>
        <color theme="1"/>
        <rFont val="Arial"/>
      </rPr>
      <t xml:space="preserve">D. Equipment   </t>
    </r>
    <r>
      <rPr>
        <sz val="10"/>
        <color theme="1"/>
        <rFont val="Arial"/>
      </rPr>
      <t xml:space="preserve">                                       </t>
    </r>
  </si>
  <si>
    <t xml:space="preserve">2. Data Analyst - NCURA  SPA Level 2 Workshop </t>
  </si>
  <si>
    <t>3.NCURA National Meeting x 3 people</t>
  </si>
  <si>
    <r>
      <rPr>
        <sz val="10"/>
        <color theme="1"/>
        <rFont val="Arial"/>
      </rPr>
      <t xml:space="preserve">Subawards/Subcontracts </t>
    </r>
    <r>
      <rPr>
        <b/>
        <i/>
        <sz val="10"/>
        <color theme="1"/>
        <rFont val="Arial"/>
      </rPr>
      <t>-</t>
    </r>
    <r>
      <rPr>
        <b/>
        <i/>
        <sz val="11"/>
        <color rgb="FFFF6600"/>
        <rFont val="Arial"/>
      </rPr>
      <t xml:space="preserve"> </t>
    </r>
    <r>
      <rPr>
        <b/>
        <i/>
        <sz val="10"/>
        <color rgb="FFFF6600"/>
        <rFont val="Arial"/>
      </rPr>
      <t>Indirect Costs are charged up to the first $25,000 onl</t>
    </r>
    <r>
      <rPr>
        <b/>
        <i/>
        <sz val="11"/>
        <color rgb="FFFF6600"/>
        <rFont val="Arial"/>
      </rPr>
      <t xml:space="preserve">y                        </t>
    </r>
  </si>
  <si>
    <t>YEAR 3 TOTAL</t>
  </si>
  <si>
    <t>Year 4</t>
  </si>
  <si>
    <r>
      <rPr>
        <b/>
        <sz val="10"/>
        <color theme="1"/>
        <rFont val="Arial"/>
      </rPr>
      <t xml:space="preserve">D. Equipment   </t>
    </r>
    <r>
      <rPr>
        <sz val="10"/>
        <color theme="1"/>
        <rFont val="Arial"/>
      </rPr>
      <t xml:space="preserve">                                       </t>
    </r>
  </si>
  <si>
    <r>
      <rPr>
        <sz val="10"/>
        <color theme="1"/>
        <rFont val="Arial"/>
      </rPr>
      <t xml:space="preserve">Subawards/Subcontracts </t>
    </r>
    <r>
      <rPr>
        <b/>
        <i/>
        <sz val="10"/>
        <color theme="1"/>
        <rFont val="Arial"/>
      </rPr>
      <t>-</t>
    </r>
    <r>
      <rPr>
        <b/>
        <i/>
        <sz val="11"/>
        <color rgb="FFFF6600"/>
        <rFont val="Arial"/>
      </rPr>
      <t xml:space="preserve"> </t>
    </r>
    <r>
      <rPr>
        <b/>
        <i/>
        <sz val="10"/>
        <color rgb="FFFF6600"/>
        <rFont val="Arial"/>
      </rPr>
      <t>Indirect Costs are charged up to the first $25,000 onl</t>
    </r>
    <r>
      <rPr>
        <b/>
        <i/>
        <sz val="11"/>
        <color rgb="FFFF6600"/>
        <rFont val="Arial"/>
      </rPr>
      <t xml:space="preserve">y                        </t>
    </r>
  </si>
  <si>
    <t>YEAR 4 TOTAL</t>
  </si>
  <si>
    <t>Year 5</t>
  </si>
  <si>
    <r>
      <rPr>
        <b/>
        <sz val="10"/>
        <color theme="1"/>
        <rFont val="Arial"/>
      </rPr>
      <t xml:space="preserve">D. Equipment   </t>
    </r>
    <r>
      <rPr>
        <sz val="10"/>
        <color theme="1"/>
        <rFont val="Arial"/>
      </rPr>
      <t xml:space="preserve">                                       </t>
    </r>
  </si>
  <si>
    <r>
      <rPr>
        <sz val="10"/>
        <color theme="1"/>
        <rFont val="Arial"/>
      </rPr>
      <t xml:space="preserve">Subawards/Subcontracts </t>
    </r>
    <r>
      <rPr>
        <b/>
        <i/>
        <sz val="10"/>
        <color theme="1"/>
        <rFont val="Arial"/>
      </rPr>
      <t>-</t>
    </r>
    <r>
      <rPr>
        <b/>
        <i/>
        <sz val="11"/>
        <color rgb="FFFF6600"/>
        <rFont val="Arial"/>
      </rPr>
      <t xml:space="preserve"> </t>
    </r>
    <r>
      <rPr>
        <b/>
        <i/>
        <sz val="10"/>
        <color rgb="FFFF6600"/>
        <rFont val="Arial"/>
      </rPr>
      <t>Indirect Costs are charged up to the first $25,000 onl</t>
    </r>
    <r>
      <rPr>
        <b/>
        <i/>
        <sz val="11"/>
        <color rgb="FFFF6600"/>
        <rFont val="Arial"/>
      </rPr>
      <t xml:space="preserve">y                        </t>
    </r>
  </si>
  <si>
    <t>PERSONNEL DIRECT COSTS</t>
  </si>
  <si>
    <t>All Years</t>
  </si>
  <si>
    <t>Total SW (A-B)</t>
  </si>
  <si>
    <t>Total SWB (A-C)</t>
  </si>
  <si>
    <t>ADDITIONAL DIRECT COSTS</t>
  </si>
  <si>
    <t>Salary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</si>
</sst>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164" formatCode="0.0%"/>
    <numFmt numFmtId="165" formatCode="&quot;$&quot;#,##0;[Red]&quot;$&quot;#,##0"/>
    <numFmt numFmtId="166" formatCode="0.0"/>
    <numFmt numFmtId="167" formatCode="&quot;$&quot;#,##0"/>
    <numFmt numFmtId="168" formatCode="&quot;$&quot;#,##0.00"/>
    <numFmt numFmtId="169" formatCode="&quot;$&quot;#,##0.00;[Red]&quot;$&quot;#,##0.00"/>
  </numFmts>
  <fonts count="39" x14ac:knownFonts="1">
    <font>
      <sz val="10"/>
      <color rgb="FF000000"/>
      <name val="Arial"/>
      <scheme val="minor"/>
    </font>
    <font>
      <b/>
      <sz val="12"/>
      <color rgb="FF000080"/>
      <name val="Arial"/>
    </font>
    <font>
      <sz val="10"/>
      <name val="Arial"/>
    </font>
    <font>
      <sz val="12"/>
      <color rgb="FF000080"/>
      <name val="Arial"/>
    </font>
    <font>
      <sz val="10"/>
      <color rgb="FF000000"/>
      <name val="Arial"/>
    </font>
    <font>
      <sz val="11"/>
      <color rgb="FF000080"/>
      <name val="Arial"/>
    </font>
    <font>
      <sz val="9"/>
      <color rgb="FF00008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i/>
      <sz val="9"/>
      <color theme="1"/>
      <name val="Arial"/>
    </font>
    <font>
      <b/>
      <sz val="9"/>
      <color theme="1"/>
      <name val="Arial"/>
    </font>
    <font>
      <b/>
      <sz val="12"/>
      <color rgb="FF000000"/>
      <name val="Arial"/>
    </font>
    <font>
      <i/>
      <sz val="11"/>
      <color rgb="FF000080"/>
      <name val="Arial"/>
    </font>
    <font>
      <i/>
      <sz val="10"/>
      <color theme="1"/>
      <name val="Arial"/>
    </font>
    <font>
      <b/>
      <i/>
      <sz val="10"/>
      <color rgb="FFFF6600"/>
      <name val="Arial"/>
    </font>
    <font>
      <b/>
      <sz val="10"/>
      <color rgb="FFFF6600"/>
      <name val="Arial"/>
    </font>
    <font>
      <b/>
      <sz val="8"/>
      <color theme="1"/>
      <name val="Arial"/>
    </font>
    <font>
      <b/>
      <sz val="10"/>
      <color rgb="FF0000FF"/>
      <name val="Arial"/>
    </font>
    <font>
      <sz val="10"/>
      <color rgb="FFFF6600"/>
      <name val="Arial"/>
    </font>
    <font>
      <sz val="8"/>
      <color theme="1"/>
      <name val="Arial"/>
    </font>
    <font>
      <sz val="10"/>
      <color rgb="FF0000FF"/>
      <name val="Arial"/>
    </font>
    <font>
      <b/>
      <sz val="10"/>
      <color rgb="FF993300"/>
      <name val="Arial"/>
    </font>
    <font>
      <b/>
      <sz val="14"/>
      <color rgb="FF000080"/>
      <name val="Arial"/>
    </font>
    <font>
      <b/>
      <sz val="11"/>
      <color theme="1"/>
      <name val="Arial"/>
    </font>
    <font>
      <b/>
      <sz val="12"/>
      <color rgb="FFFF0000"/>
      <name val="Arial"/>
    </font>
    <font>
      <b/>
      <i/>
      <sz val="10"/>
      <color rgb="FFFF0000"/>
      <name val="Arial"/>
    </font>
    <font>
      <b/>
      <sz val="11"/>
      <color rgb="FF000000"/>
      <name val="Arial"/>
    </font>
    <font>
      <b/>
      <sz val="11"/>
      <color rgb="FF000080"/>
      <name val="Arial"/>
    </font>
    <font>
      <sz val="11"/>
      <color rgb="FF000000"/>
      <name val="Arial"/>
    </font>
    <font>
      <sz val="11"/>
      <color theme="1"/>
      <name val="Arial"/>
    </font>
    <font>
      <b/>
      <sz val="14"/>
      <color rgb="FFFF0000"/>
      <name val="Arial"/>
    </font>
    <font>
      <i/>
      <sz val="11"/>
      <color rgb="FF000000"/>
      <name val="Arial"/>
    </font>
    <font>
      <b/>
      <sz val="10"/>
      <color rgb="FF000000"/>
      <name val="Arial"/>
    </font>
    <font>
      <i/>
      <sz val="10"/>
      <color rgb="FF808080"/>
      <name val="Arial"/>
    </font>
    <font>
      <sz val="10"/>
      <color rgb="FF808080"/>
      <name val="Arial"/>
    </font>
    <font>
      <i/>
      <sz val="10"/>
      <color rgb="FF000000"/>
      <name val="Arial"/>
    </font>
    <font>
      <b/>
      <i/>
      <sz val="10"/>
      <color theme="1"/>
      <name val="Arial"/>
    </font>
    <font>
      <b/>
      <i/>
      <sz val="11"/>
      <color rgb="FFFF66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CCECFF"/>
        <bgColor rgb="FFCCECFF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E5FFFF"/>
        <bgColor rgb="FFE5FFFF"/>
      </patternFill>
    </fill>
    <fill>
      <patternFill patternType="solid">
        <fgColor rgb="FFE2EFDA"/>
        <bgColor rgb="FFE2EFDA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2" borderId="5" xfId="0" applyFont="1" applyFill="1" applyBorder="1" applyAlignment="1">
      <alignment horizontal="right" vertical="center"/>
    </xf>
    <xf numFmtId="14" fontId="3" fillId="2" borderId="5" xfId="0" applyNumberFormat="1" applyFont="1" applyFill="1" applyBorder="1" applyAlignment="1">
      <alignment horizontal="center" vertical="center"/>
    </xf>
    <xf numFmtId="4" fontId="1" fillId="2" borderId="5" xfId="0" applyNumberFormat="1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2" borderId="7" xfId="0" applyFont="1" applyFill="1" applyBorder="1" applyAlignment="1">
      <alignment horizontal="right" vertical="center"/>
    </xf>
    <xf numFmtId="0" fontId="7" fillId="4" borderId="9" xfId="0" applyFont="1" applyFill="1" applyBorder="1" applyAlignment="1">
      <alignment vertical="center"/>
    </xf>
    <xf numFmtId="0" fontId="7" fillId="4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164" fontId="8" fillId="3" borderId="11" xfId="0" applyNumberFormat="1" applyFont="1" applyFill="1" applyBorder="1" applyAlignment="1">
      <alignment horizontal="center" vertical="center"/>
    </xf>
    <xf numFmtId="165" fontId="9" fillId="3" borderId="11" xfId="0" applyNumberFormat="1" applyFont="1" applyFill="1" applyBorder="1" applyAlignment="1">
      <alignment horizontal="center"/>
    </xf>
    <xf numFmtId="165" fontId="8" fillId="0" borderId="11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165" fontId="9" fillId="3" borderId="12" xfId="0" applyNumberFormat="1" applyFont="1" applyFill="1" applyBorder="1" applyAlignment="1">
      <alignment horizontal="center"/>
    </xf>
    <xf numFmtId="165" fontId="8" fillId="3" borderId="11" xfId="0" applyNumberFormat="1" applyFont="1" applyFill="1" applyBorder="1" applyAlignment="1">
      <alignment horizontal="center" vertical="center"/>
    </xf>
    <xf numFmtId="165" fontId="10" fillId="6" borderId="10" xfId="0" applyNumberFormat="1" applyFont="1" applyFill="1" applyBorder="1" applyAlignment="1">
      <alignment horizontal="left" vertical="center"/>
    </xf>
    <xf numFmtId="164" fontId="8" fillId="0" borderId="12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0" fontId="7" fillId="7" borderId="5" xfId="0" applyFont="1" applyFill="1" applyBorder="1" applyAlignment="1">
      <alignment vertical="center"/>
    </xf>
    <xf numFmtId="0" fontId="7" fillId="7" borderId="10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166" fontId="8" fillId="0" borderId="11" xfId="0" applyNumberFormat="1" applyFont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10" fontId="7" fillId="4" borderId="11" xfId="0" applyNumberFormat="1" applyFont="1" applyFill="1" applyBorder="1" applyAlignment="1">
      <alignment horizontal="center" vertical="center"/>
    </xf>
    <xf numFmtId="6" fontId="7" fillId="4" borderId="11" xfId="0" applyNumberFormat="1" applyFont="1" applyFill="1" applyBorder="1" applyAlignment="1">
      <alignment horizontal="center" vertical="center"/>
    </xf>
    <xf numFmtId="165" fontId="7" fillId="4" borderId="10" xfId="0" applyNumberFormat="1" applyFont="1" applyFill="1" applyBorder="1" applyAlignment="1">
      <alignment horizontal="center" vertical="center"/>
    </xf>
    <xf numFmtId="49" fontId="8" fillId="3" borderId="11" xfId="0" applyNumberFormat="1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0" fontId="7" fillId="8" borderId="7" xfId="0" applyFont="1" applyFill="1" applyBorder="1" applyAlignment="1">
      <alignment vertical="center"/>
    </xf>
    <xf numFmtId="0" fontId="7" fillId="8" borderId="5" xfId="0" applyFont="1" applyFill="1" applyBorder="1" applyAlignment="1">
      <alignment vertical="center"/>
    </xf>
    <xf numFmtId="0" fontId="4" fillId="8" borderId="5" xfId="0" applyFont="1" applyFill="1" applyBorder="1" applyAlignment="1">
      <alignment vertical="center"/>
    </xf>
    <xf numFmtId="0" fontId="4" fillId="8" borderId="6" xfId="0" applyFont="1" applyFill="1" applyBorder="1" applyAlignment="1">
      <alignment vertical="center"/>
    </xf>
    <xf numFmtId="167" fontId="8" fillId="0" borderId="8" xfId="0" applyNumberFormat="1" applyFont="1" applyBorder="1" applyAlignment="1">
      <alignment horizontal="center" vertical="center"/>
    </xf>
    <xf numFmtId="6" fontId="7" fillId="4" borderId="16" xfId="0" applyNumberFormat="1" applyFont="1" applyFill="1" applyBorder="1" applyAlignment="1">
      <alignment horizontal="center" vertical="center"/>
    </xf>
    <xf numFmtId="6" fontId="7" fillId="8" borderId="18" xfId="0" applyNumberFormat="1" applyFont="1" applyFill="1" applyBorder="1" applyAlignment="1">
      <alignment horizontal="center" vertical="center"/>
    </xf>
    <xf numFmtId="6" fontId="7" fillId="2" borderId="16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3" fillId="2" borderId="9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8" fillId="2" borderId="19" xfId="0" applyFont="1" applyFill="1" applyBorder="1" applyAlignment="1">
      <alignment vertical="center"/>
    </xf>
    <xf numFmtId="0" fontId="7" fillId="9" borderId="7" xfId="0" applyFont="1" applyFill="1" applyBorder="1" applyAlignment="1">
      <alignment vertical="center"/>
    </xf>
    <xf numFmtId="0" fontId="7" fillId="9" borderId="5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vertical="center"/>
    </xf>
    <xf numFmtId="0" fontId="7" fillId="9" borderId="5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6" fontId="8" fillId="5" borderId="19" xfId="0" applyNumberFormat="1" applyFont="1" applyFill="1" applyBorder="1" applyAlignment="1">
      <alignment horizontal="center" vertical="center"/>
    </xf>
    <xf numFmtId="6" fontId="8" fillId="5" borderId="6" xfId="0" applyNumberFormat="1" applyFont="1" applyFill="1" applyBorder="1" applyAlignment="1">
      <alignment horizontal="center" vertical="center"/>
    </xf>
    <xf numFmtId="6" fontId="8" fillId="5" borderId="21" xfId="0" applyNumberFormat="1" applyFont="1" applyFill="1" applyBorder="1" applyAlignment="1">
      <alignment horizontal="center" vertical="center"/>
    </xf>
    <xf numFmtId="0" fontId="8" fillId="5" borderId="7" xfId="0" applyFont="1" applyFill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0" fontId="7" fillId="2" borderId="11" xfId="0" applyFont="1" applyFill="1" applyBorder="1" applyAlignment="1">
      <alignment horizontal="right" vertical="center"/>
    </xf>
    <xf numFmtId="167" fontId="7" fillId="2" borderId="16" xfId="0" applyNumberFormat="1" applyFont="1" applyFill="1" applyBorder="1" applyAlignment="1">
      <alignment horizontal="center" vertical="center"/>
    </xf>
    <xf numFmtId="167" fontId="8" fillId="0" borderId="22" xfId="0" applyNumberFormat="1" applyFont="1" applyBorder="1" applyAlignment="1">
      <alignment horizontal="center" vertical="center"/>
    </xf>
    <xf numFmtId="167" fontId="8" fillId="0" borderId="23" xfId="0" applyNumberFormat="1" applyFont="1" applyBorder="1" applyAlignment="1">
      <alignment horizontal="center" vertical="center"/>
    </xf>
    <xf numFmtId="0" fontId="8" fillId="5" borderId="6" xfId="0" applyFont="1" applyFill="1" applyBorder="1" applyAlignment="1">
      <alignment vertical="center"/>
    </xf>
    <xf numFmtId="0" fontId="7" fillId="2" borderId="24" xfId="0" applyFont="1" applyFill="1" applyBorder="1" applyAlignment="1">
      <alignment horizontal="right" vertical="center"/>
    </xf>
    <xf numFmtId="0" fontId="7" fillId="9" borderId="25" xfId="0" applyFont="1" applyFill="1" applyBorder="1" applyAlignment="1">
      <alignment vertical="center"/>
    </xf>
    <xf numFmtId="0" fontId="8" fillId="3" borderId="11" xfId="0" applyFont="1" applyFill="1" applyBorder="1" applyAlignment="1">
      <alignment vertical="center"/>
    </xf>
    <xf numFmtId="167" fontId="8" fillId="0" borderId="11" xfId="0" applyNumberFormat="1" applyFont="1" applyBorder="1" applyAlignment="1">
      <alignment horizontal="center" vertical="center"/>
    </xf>
    <xf numFmtId="0" fontId="8" fillId="5" borderId="20" xfId="0" applyFont="1" applyFill="1" applyBorder="1" applyAlignment="1">
      <alignment vertical="center"/>
    </xf>
    <xf numFmtId="0" fontId="7" fillId="5" borderId="9" xfId="0" applyFont="1" applyFill="1" applyBorder="1" applyAlignment="1">
      <alignment vertical="center"/>
    </xf>
    <xf numFmtId="0" fontId="7" fillId="5" borderId="19" xfId="0" applyFont="1" applyFill="1" applyBorder="1" applyAlignment="1">
      <alignment vertical="center"/>
    </xf>
    <xf numFmtId="167" fontId="7" fillId="2" borderId="24" xfId="0" applyNumberFormat="1" applyFont="1" applyFill="1" applyBorder="1" applyAlignment="1">
      <alignment horizontal="center" vertical="center"/>
    </xf>
    <xf numFmtId="0" fontId="8" fillId="5" borderId="9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5" fillId="5" borderId="24" xfId="0" applyFont="1" applyFill="1" applyBorder="1" applyAlignment="1">
      <alignment horizontal="right" vertical="center"/>
    </xf>
    <xf numFmtId="167" fontId="8" fillId="4" borderId="6" xfId="0" applyNumberFormat="1" applyFont="1" applyFill="1" applyBorder="1" applyAlignment="1">
      <alignment horizontal="center" vertical="center"/>
    </xf>
    <xf numFmtId="0" fontId="7" fillId="0" borderId="27" xfId="0" applyFont="1" applyBorder="1" applyAlignment="1">
      <alignment horizontal="right" vertical="center"/>
    </xf>
    <xf numFmtId="0" fontId="8" fillId="4" borderId="7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167" fontId="8" fillId="4" borderId="11" xfId="0" applyNumberFormat="1" applyFont="1" applyFill="1" applyBorder="1" applyAlignment="1">
      <alignment vertical="center"/>
    </xf>
    <xf numFmtId="4" fontId="8" fillId="5" borderId="5" xfId="0" applyNumberFormat="1" applyFont="1" applyFill="1" applyBorder="1" applyAlignment="1">
      <alignment horizontal="left" vertical="center"/>
    </xf>
    <xf numFmtId="4" fontId="8" fillId="5" borderId="21" xfId="0" applyNumberFormat="1" applyFont="1" applyFill="1" applyBorder="1" applyAlignment="1">
      <alignment horizontal="left" vertical="center"/>
    </xf>
    <xf numFmtId="0" fontId="7" fillId="0" borderId="28" xfId="0" applyFont="1" applyBorder="1" applyAlignment="1">
      <alignment horizontal="right" vertical="center"/>
    </xf>
    <xf numFmtId="4" fontId="8" fillId="5" borderId="25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8" fillId="4" borderId="20" xfId="0" applyFont="1" applyFill="1" applyBorder="1" applyAlignment="1">
      <alignment vertical="center"/>
    </xf>
    <xf numFmtId="0" fontId="8" fillId="4" borderId="9" xfId="0" applyFont="1" applyFill="1" applyBorder="1" applyAlignment="1">
      <alignment vertical="center"/>
    </xf>
    <xf numFmtId="0" fontId="8" fillId="4" borderId="19" xfId="0" applyFont="1" applyFill="1" applyBorder="1" applyAlignment="1">
      <alignment vertical="center"/>
    </xf>
    <xf numFmtId="167" fontId="8" fillId="4" borderId="19" xfId="0" applyNumberFormat="1" applyFont="1" applyFill="1" applyBorder="1" applyAlignment="1">
      <alignment vertical="center"/>
    </xf>
    <xf numFmtId="4" fontId="8" fillId="5" borderId="7" xfId="0" applyNumberFormat="1" applyFont="1" applyFill="1" applyBorder="1" applyAlignment="1">
      <alignment horizontal="left" vertical="center"/>
    </xf>
    <xf numFmtId="4" fontId="8" fillId="5" borderId="6" xfId="0" applyNumberFormat="1" applyFont="1" applyFill="1" applyBorder="1" applyAlignment="1">
      <alignment horizontal="left" vertical="center"/>
    </xf>
    <xf numFmtId="167" fontId="7" fillId="2" borderId="32" xfId="0" applyNumberFormat="1" applyFont="1" applyFill="1" applyBorder="1" applyAlignment="1">
      <alignment horizontal="center" vertical="center"/>
    </xf>
    <xf numFmtId="0" fontId="16" fillId="10" borderId="33" xfId="0" applyFont="1" applyFill="1" applyBorder="1" applyAlignment="1">
      <alignment vertical="center"/>
    </xf>
    <xf numFmtId="0" fontId="8" fillId="10" borderId="33" xfId="0" applyFont="1" applyFill="1" applyBorder="1" applyAlignment="1">
      <alignment vertical="center"/>
    </xf>
    <xf numFmtId="0" fontId="17" fillId="10" borderId="34" xfId="0" applyFont="1" applyFill="1" applyBorder="1" applyAlignment="1">
      <alignment horizontal="center" vertical="center"/>
    </xf>
    <xf numFmtId="0" fontId="18" fillId="10" borderId="34" xfId="0" applyFont="1" applyFill="1" applyBorder="1" applyAlignment="1">
      <alignment horizontal="left" vertical="center"/>
    </xf>
    <xf numFmtId="167" fontId="16" fillId="10" borderId="19" xfId="0" applyNumberFormat="1" applyFont="1" applyFill="1" applyBorder="1" applyAlignment="1">
      <alignment horizontal="center" vertical="center"/>
    </xf>
    <xf numFmtId="0" fontId="19" fillId="10" borderId="5" xfId="0" applyFont="1" applyFill="1" applyBorder="1" applyAlignment="1">
      <alignment vertical="center"/>
    </xf>
    <xf numFmtId="0" fontId="8" fillId="10" borderId="5" xfId="0" applyFont="1" applyFill="1" applyBorder="1" applyAlignment="1">
      <alignment vertical="center"/>
    </xf>
    <xf numFmtId="0" fontId="16" fillId="10" borderId="11" xfId="0" applyFont="1" applyFill="1" applyBorder="1" applyAlignment="1">
      <alignment vertical="center"/>
    </xf>
    <xf numFmtId="0" fontId="19" fillId="10" borderId="19" xfId="0" applyFont="1" applyFill="1" applyBorder="1" applyAlignment="1">
      <alignment vertical="center"/>
    </xf>
    <xf numFmtId="0" fontId="16" fillId="10" borderId="11" xfId="0" applyFont="1" applyFill="1" applyBorder="1" applyAlignment="1">
      <alignment horizontal="center" vertical="center"/>
    </xf>
    <xf numFmtId="4" fontId="20" fillId="10" borderId="6" xfId="0" applyNumberFormat="1" applyFont="1" applyFill="1" applyBorder="1" applyAlignment="1">
      <alignment horizontal="left" vertical="center"/>
    </xf>
    <xf numFmtId="4" fontId="8" fillId="10" borderId="6" xfId="0" applyNumberFormat="1" applyFont="1" applyFill="1" applyBorder="1" applyAlignment="1">
      <alignment horizontal="left" vertical="center"/>
    </xf>
    <xf numFmtId="167" fontId="19" fillId="10" borderId="24" xfId="0" applyNumberFormat="1" applyFont="1" applyFill="1" applyBorder="1" applyAlignment="1">
      <alignment horizontal="center" vertical="center"/>
    </xf>
    <xf numFmtId="167" fontId="4" fillId="0" borderId="0" xfId="0" applyNumberFormat="1" applyFont="1" applyAlignment="1">
      <alignment vertical="center"/>
    </xf>
    <xf numFmtId="0" fontId="16" fillId="10" borderId="25" xfId="0" applyFont="1" applyFill="1" applyBorder="1" applyAlignment="1">
      <alignment vertical="center"/>
    </xf>
    <xf numFmtId="0" fontId="19" fillId="10" borderId="25" xfId="0" quotePrefix="1" applyFont="1" applyFill="1" applyBorder="1" applyAlignment="1">
      <alignment horizontal="right" vertical="center"/>
    </xf>
    <xf numFmtId="167" fontId="16" fillId="10" borderId="10" xfId="0" applyNumberFormat="1" applyFont="1" applyFill="1" applyBorder="1" applyAlignment="1">
      <alignment horizontal="center" vertical="center"/>
    </xf>
    <xf numFmtId="0" fontId="19" fillId="10" borderId="21" xfId="0" applyFont="1" applyFill="1" applyBorder="1" applyAlignment="1">
      <alignment vertical="center"/>
    </xf>
    <xf numFmtId="164" fontId="16" fillId="10" borderId="11" xfId="0" applyNumberFormat="1" applyFont="1" applyFill="1" applyBorder="1" applyAlignment="1">
      <alignment horizontal="center" vertical="center"/>
    </xf>
    <xf numFmtId="167" fontId="16" fillId="10" borderId="6" xfId="0" applyNumberFormat="1" applyFont="1" applyFill="1" applyBorder="1" applyAlignment="1">
      <alignment horizontal="center" vertical="center"/>
    </xf>
    <xf numFmtId="168" fontId="4" fillId="0" borderId="0" xfId="0" applyNumberFormat="1" applyFont="1" applyAlignment="1">
      <alignment vertical="center"/>
    </xf>
    <xf numFmtId="0" fontId="21" fillId="10" borderId="35" xfId="0" applyFont="1" applyFill="1" applyBorder="1" applyAlignment="1">
      <alignment vertical="center"/>
    </xf>
    <xf numFmtId="0" fontId="8" fillId="10" borderId="25" xfId="0" applyFont="1" applyFill="1" applyBorder="1" applyAlignment="1">
      <alignment vertical="center"/>
    </xf>
    <xf numFmtId="167" fontId="18" fillId="10" borderId="36" xfId="0" applyNumberFormat="1" applyFont="1" applyFill="1" applyBorder="1" applyAlignment="1">
      <alignment horizontal="center" vertical="center"/>
    </xf>
    <xf numFmtId="0" fontId="21" fillId="10" borderId="25" xfId="0" applyFont="1" applyFill="1" applyBorder="1" applyAlignment="1">
      <alignment vertical="center"/>
    </xf>
    <xf numFmtId="164" fontId="22" fillId="10" borderId="25" xfId="0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vertical="center"/>
    </xf>
    <xf numFmtId="0" fontId="23" fillId="2" borderId="5" xfId="0" applyFont="1" applyFill="1" applyBorder="1" applyAlignment="1">
      <alignment vertical="center"/>
    </xf>
    <xf numFmtId="0" fontId="23" fillId="2" borderId="6" xfId="0" applyFont="1" applyFill="1" applyBorder="1" applyAlignment="1">
      <alignment vertical="center"/>
    </xf>
    <xf numFmtId="0" fontId="24" fillId="2" borderId="19" xfId="0" applyFont="1" applyFill="1" applyBorder="1" applyAlignment="1">
      <alignment horizontal="right" vertical="center"/>
    </xf>
    <xf numFmtId="167" fontId="25" fillId="2" borderId="11" xfId="0" applyNumberFormat="1" applyFont="1" applyFill="1" applyBorder="1" applyAlignment="1">
      <alignment horizontal="center" vertical="center"/>
    </xf>
    <xf numFmtId="0" fontId="4" fillId="0" borderId="37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26" fillId="0" borderId="0" xfId="0" applyFont="1" applyAlignment="1">
      <alignment horizontal="left" vertical="center"/>
    </xf>
    <xf numFmtId="0" fontId="1" fillId="2" borderId="25" xfId="0" applyFont="1" applyFill="1" applyBorder="1" applyAlignment="1">
      <alignment horizontal="right" vertical="center"/>
    </xf>
    <xf numFmtId="14" fontId="3" fillId="2" borderId="25" xfId="0" applyNumberFormat="1" applyFont="1" applyFill="1" applyBorder="1" applyAlignment="1">
      <alignment horizontal="center" vertical="center"/>
    </xf>
    <xf numFmtId="4" fontId="1" fillId="2" borderId="25" xfId="0" applyNumberFormat="1" applyFont="1" applyFill="1" applyBorder="1" applyAlignment="1">
      <alignment horizontal="right" vertical="center"/>
    </xf>
    <xf numFmtId="0" fontId="1" fillId="2" borderId="2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vertical="center"/>
    </xf>
    <xf numFmtId="165" fontId="7" fillId="4" borderId="11" xfId="0" applyNumberFormat="1" applyFont="1" applyFill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 vertical="center"/>
    </xf>
    <xf numFmtId="169" fontId="8" fillId="0" borderId="11" xfId="0" applyNumberFormat="1" applyFont="1" applyBorder="1" applyAlignment="1">
      <alignment horizontal="center" vertical="center"/>
    </xf>
    <xf numFmtId="0" fontId="19" fillId="10" borderId="25" xfId="0" applyFont="1" applyFill="1" applyBorder="1" applyAlignment="1">
      <alignment horizontal="right" vertical="center"/>
    </xf>
    <xf numFmtId="0" fontId="26" fillId="0" borderId="0" xfId="0" applyFont="1" applyAlignment="1">
      <alignment vertical="center"/>
    </xf>
    <xf numFmtId="2" fontId="8" fillId="0" borderId="11" xfId="0" applyNumberFormat="1" applyFont="1" applyBorder="1" applyAlignment="1">
      <alignment horizontal="center" vertical="center"/>
    </xf>
    <xf numFmtId="0" fontId="8" fillId="5" borderId="7" xfId="0" applyFont="1" applyFill="1" applyBorder="1" applyAlignment="1">
      <alignment horizontal="left" vertical="center"/>
    </xf>
    <xf numFmtId="0" fontId="8" fillId="0" borderId="4" xfId="0" applyFont="1" applyBorder="1"/>
    <xf numFmtId="0" fontId="8" fillId="0" borderId="8" xfId="0" applyFont="1" applyBorder="1"/>
    <xf numFmtId="0" fontId="27" fillId="2" borderId="11" xfId="0" applyFont="1" applyFill="1" applyBorder="1" applyAlignment="1">
      <alignment horizontal="left" vertical="center"/>
    </xf>
    <xf numFmtId="0" fontId="28" fillId="2" borderId="6" xfId="0" applyFont="1" applyFill="1" applyBorder="1" applyAlignment="1">
      <alignment horizontal="center" vertical="center"/>
    </xf>
    <xf numFmtId="0" fontId="28" fillId="2" borderId="11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6" fontId="8" fillId="5" borderId="1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8" borderId="11" xfId="0" applyFont="1" applyFill="1" applyBorder="1" applyAlignment="1">
      <alignment horizontal="left" vertical="center"/>
    </xf>
    <xf numFmtId="6" fontId="8" fillId="8" borderId="6" xfId="0" applyNumberFormat="1" applyFont="1" applyFill="1" applyBorder="1" applyAlignment="1">
      <alignment horizontal="center" vertical="center"/>
    </xf>
    <xf numFmtId="6" fontId="4" fillId="0" borderId="0" xfId="0" applyNumberFormat="1" applyFont="1" applyAlignment="1">
      <alignment horizontal="center" vertical="center"/>
    </xf>
    <xf numFmtId="6" fontId="8" fillId="8" borderId="21" xfId="0" applyNumberFormat="1" applyFont="1" applyFill="1" applyBorder="1" applyAlignment="1">
      <alignment horizontal="center" vertical="center"/>
    </xf>
    <xf numFmtId="6" fontId="7" fillId="2" borderId="21" xfId="0" applyNumberFormat="1" applyFont="1" applyFill="1" applyBorder="1" applyAlignment="1">
      <alignment horizontal="center" vertical="center"/>
    </xf>
    <xf numFmtId="6" fontId="8" fillId="5" borderId="16" xfId="0" applyNumberFormat="1" applyFont="1" applyFill="1" applyBorder="1" applyAlignment="1">
      <alignment horizontal="center" vertical="center"/>
    </xf>
    <xf numFmtId="0" fontId="29" fillId="0" borderId="11" xfId="0" applyFont="1" applyBorder="1" applyAlignment="1">
      <alignment horizontal="left" vertical="center"/>
    </xf>
    <xf numFmtId="6" fontId="8" fillId="0" borderId="11" xfId="0" applyNumberFormat="1" applyFont="1" applyBorder="1" applyAlignment="1">
      <alignment horizontal="center" vertical="center"/>
    </xf>
    <xf numFmtId="6" fontId="8" fillId="5" borderId="10" xfId="0" applyNumberFormat="1" applyFont="1" applyFill="1" applyBorder="1" applyAlignment="1">
      <alignment horizontal="center" vertical="center"/>
    </xf>
    <xf numFmtId="6" fontId="8" fillId="5" borderId="18" xfId="0" applyNumberFormat="1" applyFont="1" applyFill="1" applyBorder="1" applyAlignment="1">
      <alignment horizontal="center" vertical="center"/>
    </xf>
    <xf numFmtId="6" fontId="8" fillId="8" borderId="11" xfId="0" applyNumberFormat="1" applyFont="1" applyFill="1" applyBorder="1" applyAlignment="1">
      <alignment horizontal="center" vertical="center"/>
    </xf>
    <xf numFmtId="6" fontId="30" fillId="2" borderId="11" xfId="0" applyNumberFormat="1" applyFont="1" applyFill="1" applyBorder="1" applyAlignment="1">
      <alignment horizontal="center" vertical="center"/>
    </xf>
    <xf numFmtId="6" fontId="31" fillId="2" borderId="11" xfId="0" applyNumberFormat="1" applyFont="1" applyFill="1" applyBorder="1" applyAlignment="1">
      <alignment horizontal="center" vertical="center"/>
    </xf>
    <xf numFmtId="6" fontId="29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2" fillId="0" borderId="0" xfId="0" applyFont="1" applyAlignment="1">
      <alignment horizontal="right" vertical="center"/>
    </xf>
    <xf numFmtId="167" fontId="27" fillId="0" borderId="0" xfId="0" applyNumberFormat="1" applyFont="1" applyAlignment="1">
      <alignment horizontal="center" vertical="center"/>
    </xf>
    <xf numFmtId="167" fontId="29" fillId="0" borderId="0" xfId="0" applyNumberFormat="1" applyFont="1" applyAlignment="1">
      <alignment horizontal="center" vertical="center"/>
    </xf>
    <xf numFmtId="0" fontId="8" fillId="8" borderId="36" xfId="0" applyFont="1" applyFill="1" applyBorder="1" applyAlignment="1">
      <alignment horizontal="center" vertical="center" wrapText="1"/>
    </xf>
    <xf numFmtId="0" fontId="8" fillId="8" borderId="36" xfId="0" applyFont="1" applyFill="1" applyBorder="1" applyAlignment="1">
      <alignment horizontal="center" vertical="center"/>
    </xf>
    <xf numFmtId="0" fontId="34" fillId="0" borderId="0" xfId="0" applyFont="1" applyAlignment="1">
      <alignment horizontal="right"/>
    </xf>
    <xf numFmtId="167" fontId="35" fillId="0" borderId="0" xfId="0" applyNumberFormat="1" applyFont="1" applyAlignment="1">
      <alignment horizontal="left"/>
    </xf>
    <xf numFmtId="9" fontId="8" fillId="8" borderId="36" xfId="0" applyNumberFormat="1" applyFont="1" applyFill="1" applyBorder="1" applyAlignment="1">
      <alignment horizontal="center" vertical="center" wrapText="1"/>
    </xf>
    <xf numFmtId="9" fontId="8" fillId="8" borderId="36" xfId="0" applyNumberFormat="1" applyFont="1" applyFill="1" applyBorder="1" applyAlignment="1">
      <alignment horizontal="center" vertical="center"/>
    </xf>
    <xf numFmtId="14" fontId="8" fillId="8" borderId="36" xfId="0" applyNumberFormat="1" applyFont="1" applyFill="1" applyBorder="1" applyAlignment="1">
      <alignment horizontal="center" vertical="center" wrapText="1"/>
    </xf>
    <xf numFmtId="14" fontId="8" fillId="8" borderId="36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right"/>
    </xf>
    <xf numFmtId="167" fontId="4" fillId="0" borderId="0" xfId="0" applyNumberFormat="1" applyFont="1" applyAlignment="1">
      <alignment horizontal="left"/>
    </xf>
    <xf numFmtId="10" fontId="4" fillId="11" borderId="36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3" fillId="2" borderId="3" xfId="0" applyFont="1" applyFill="1" applyBorder="1" applyAlignment="1">
      <alignment horizontal="left" vertical="center"/>
    </xf>
    <xf numFmtId="0" fontId="2" fillId="0" borderId="4" xfId="0" applyFont="1" applyBorder="1"/>
    <xf numFmtId="0" fontId="5" fillId="2" borderId="3" xfId="0" applyFont="1" applyFill="1" applyBorder="1" applyAlignment="1">
      <alignment horizontal="left" vertical="center" wrapText="1"/>
    </xf>
    <xf numFmtId="0" fontId="2" fillId="0" borderId="8" xfId="0" applyFont="1" applyBorder="1"/>
    <xf numFmtId="0" fontId="6" fillId="3" borderId="1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/>
    </xf>
    <xf numFmtId="0" fontId="10" fillId="6" borderId="13" xfId="0" applyFont="1" applyFill="1" applyBorder="1" applyAlignment="1">
      <alignment horizontal="right" vertical="center"/>
    </xf>
    <xf numFmtId="0" fontId="2" fillId="0" borderId="14" xfId="0" applyFont="1" applyBorder="1"/>
    <xf numFmtId="0" fontId="2" fillId="0" borderId="15" xfId="0" applyFont="1" applyBorder="1"/>
    <xf numFmtId="0" fontId="8" fillId="4" borderId="3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12" fillId="0" borderId="17" xfId="0" quotePrefix="1" applyFont="1" applyBorder="1" applyAlignment="1">
      <alignment horizontal="center"/>
    </xf>
    <xf numFmtId="0" fontId="2" fillId="0" borderId="12" xfId="0" applyFont="1" applyBorder="1"/>
    <xf numFmtId="0" fontId="7" fillId="9" borderId="1" xfId="0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/>
    </xf>
    <xf numFmtId="0" fontId="7" fillId="5" borderId="29" xfId="0" applyFont="1" applyFill="1" applyBorder="1" applyAlignment="1">
      <alignment horizontal="left" vertical="center"/>
    </xf>
    <xf numFmtId="0" fontId="2" fillId="0" borderId="30" xfId="0" applyFont="1" applyBorder="1"/>
    <xf numFmtId="0" fontId="2" fillId="0" borderId="31" xfId="0" applyFont="1" applyBorder="1"/>
    <xf numFmtId="0" fontId="8" fillId="5" borderId="26" xfId="0" applyFont="1" applyFill="1" applyBorder="1" applyAlignment="1">
      <alignment horizontal="left" vertical="center"/>
    </xf>
    <xf numFmtId="0" fontId="1" fillId="2" borderId="39" xfId="0" applyFont="1" applyFill="1" applyBorder="1" applyAlignment="1">
      <alignment horizontal="left" vertical="center"/>
    </xf>
    <xf numFmtId="0" fontId="2" fillId="0" borderId="40" xfId="0" applyFont="1" applyBorder="1"/>
    <xf numFmtId="0" fontId="3" fillId="2" borderId="41" xfId="0" applyFont="1" applyFill="1" applyBorder="1" applyAlignment="1">
      <alignment horizontal="left" vertical="center"/>
    </xf>
    <xf numFmtId="0" fontId="2" fillId="0" borderId="42" xfId="0" applyFont="1" applyBorder="1"/>
    <xf numFmtId="0" fontId="3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26"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21" zoomScale="130" zoomScaleNormal="130" workbookViewId="0">
      <selection activeCell="L49" sqref="L49"/>
    </sheetView>
  </sheetViews>
  <sheetFormatPr defaultColWidth="12.6640625" defaultRowHeight="15" customHeight="1" x14ac:dyDescent="0.25"/>
  <cols>
    <col min="1" max="1" width="9.77734375" customWidth="1"/>
    <col min="2" max="2" width="30.109375" customWidth="1"/>
    <col min="3" max="3" width="13" customWidth="1"/>
    <col min="4" max="4" width="10" customWidth="1"/>
    <col min="5" max="5" width="9.21875" customWidth="1"/>
    <col min="6" max="6" width="12" customWidth="1"/>
    <col min="7" max="7" width="17.21875" customWidth="1"/>
    <col min="8" max="8" width="11.44140625" customWidth="1"/>
    <col min="9" max="9" width="15.109375" customWidth="1"/>
    <col min="10" max="10" width="11.88671875" customWidth="1"/>
    <col min="11" max="11" width="11.44140625" customWidth="1"/>
    <col min="12" max="26" width="14.44140625" customWidth="1"/>
  </cols>
  <sheetData>
    <row r="1" spans="1:26" ht="24.75" customHeight="1" x14ac:dyDescent="0.25">
      <c r="A1" s="176" t="s">
        <v>0</v>
      </c>
      <c r="B1" s="177"/>
      <c r="C1" s="178" t="s">
        <v>1</v>
      </c>
      <c r="D1" s="179"/>
      <c r="E1" s="177"/>
      <c r="F1" s="1" t="s">
        <v>2</v>
      </c>
      <c r="G1" s="2">
        <v>45474</v>
      </c>
      <c r="H1" s="3" t="s">
        <v>3</v>
      </c>
      <c r="I1" s="2">
        <v>45838</v>
      </c>
      <c r="J1" s="4" t="s">
        <v>4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4.75" customHeight="1" x14ac:dyDescent="0.25">
      <c r="A2" s="6" t="s">
        <v>5</v>
      </c>
      <c r="B2" s="180" t="s">
        <v>6</v>
      </c>
      <c r="C2" s="179"/>
      <c r="D2" s="179"/>
      <c r="E2" s="181"/>
      <c r="F2" s="182" t="s">
        <v>7</v>
      </c>
      <c r="G2" s="179"/>
      <c r="H2" s="179"/>
      <c r="I2" s="179"/>
      <c r="J2" s="18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7" t="s">
        <v>8</v>
      </c>
      <c r="B3" s="7"/>
      <c r="C3" s="8" t="s">
        <v>9</v>
      </c>
      <c r="D3" s="8" t="s">
        <v>10</v>
      </c>
      <c r="E3" s="8" t="s">
        <v>11</v>
      </c>
      <c r="F3" s="8" t="s">
        <v>12</v>
      </c>
      <c r="G3" s="9" t="s">
        <v>13</v>
      </c>
      <c r="H3" s="8" t="s">
        <v>14</v>
      </c>
      <c r="I3" s="8" t="s">
        <v>15</v>
      </c>
      <c r="J3" s="8" t="s">
        <v>16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183" t="s">
        <v>1</v>
      </c>
      <c r="B4" s="181"/>
      <c r="C4" s="10" t="s">
        <v>17</v>
      </c>
      <c r="D4" s="11">
        <f t="shared" ref="D4:D7" si="0">12*E4</f>
        <v>0.60000000000000009</v>
      </c>
      <c r="E4" s="12">
        <v>0.05</v>
      </c>
      <c r="F4" s="13">
        <v>115000</v>
      </c>
      <c r="G4" s="14">
        <f t="shared" ref="G4:G6" si="1">SUM(F4/12)*D4</f>
        <v>5750.0000000000009</v>
      </c>
      <c r="H4" s="15">
        <v>0.23499999999999999</v>
      </c>
      <c r="I4" s="14">
        <f t="shared" ref="I4:I6" si="2">(G4*H4)+(21138*E4)</f>
        <v>2408.1500000000005</v>
      </c>
      <c r="J4" s="14">
        <f t="shared" ref="J4:J7" si="3">G4+I4</f>
        <v>8158.1500000000015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183" t="s">
        <v>18</v>
      </c>
      <c r="B5" s="181"/>
      <c r="C5" s="10"/>
      <c r="D5" s="11">
        <f t="shared" si="0"/>
        <v>1.7999999999999998</v>
      </c>
      <c r="E5" s="12">
        <v>0.15</v>
      </c>
      <c r="F5" s="16">
        <v>77000</v>
      </c>
      <c r="G5" s="14">
        <f t="shared" si="1"/>
        <v>11550</v>
      </c>
      <c r="H5" s="15">
        <v>0.23499999999999999</v>
      </c>
      <c r="I5" s="14">
        <f t="shared" si="2"/>
        <v>5884.95</v>
      </c>
      <c r="J5" s="14">
        <f t="shared" si="3"/>
        <v>17434.95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25">
      <c r="A6" s="183" t="s">
        <v>19</v>
      </c>
      <c r="B6" s="181"/>
      <c r="C6" s="10"/>
      <c r="D6" s="11">
        <f t="shared" si="0"/>
        <v>12</v>
      </c>
      <c r="E6" s="12">
        <v>1</v>
      </c>
      <c r="F6" s="17">
        <v>60000</v>
      </c>
      <c r="G6" s="14">
        <f t="shared" si="1"/>
        <v>60000</v>
      </c>
      <c r="H6" s="15">
        <v>0.23499999999999999</v>
      </c>
      <c r="I6" s="14">
        <f t="shared" si="2"/>
        <v>35238</v>
      </c>
      <c r="J6" s="14">
        <f t="shared" si="3"/>
        <v>95238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5">
      <c r="A7" s="183" t="s">
        <v>20</v>
      </c>
      <c r="B7" s="181"/>
      <c r="C7" s="10"/>
      <c r="D7" s="11">
        <f t="shared" si="0"/>
        <v>0</v>
      </c>
      <c r="E7" s="12"/>
      <c r="F7" s="17"/>
      <c r="G7" s="14">
        <f>SUM(F7/9)*D7</f>
        <v>0</v>
      </c>
      <c r="H7" s="15">
        <v>0.23499999999999999</v>
      </c>
      <c r="I7" s="14">
        <f t="shared" ref="I7:I8" si="4">G7*H7</f>
        <v>0</v>
      </c>
      <c r="J7" s="14">
        <f t="shared" si="3"/>
        <v>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184" t="s">
        <v>21</v>
      </c>
      <c r="B8" s="185"/>
      <c r="C8" s="185"/>
      <c r="D8" s="185"/>
      <c r="E8" s="185"/>
      <c r="F8" s="186"/>
      <c r="G8" s="18">
        <f>SUM(G4:G7)</f>
        <v>77300</v>
      </c>
      <c r="H8" s="19"/>
      <c r="I8" s="20">
        <f t="shared" si="4"/>
        <v>0</v>
      </c>
      <c r="J8" s="20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21" t="s">
        <v>22</v>
      </c>
      <c r="B9" s="21"/>
      <c r="C9" s="22" t="s">
        <v>9</v>
      </c>
      <c r="D9" s="22" t="s">
        <v>10</v>
      </c>
      <c r="E9" s="22" t="s">
        <v>11</v>
      </c>
      <c r="F9" s="22" t="s">
        <v>12</v>
      </c>
      <c r="G9" s="23" t="s">
        <v>13</v>
      </c>
      <c r="H9" s="22" t="s">
        <v>14</v>
      </c>
      <c r="I9" s="22" t="s">
        <v>15</v>
      </c>
      <c r="J9" s="24" t="s">
        <v>16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183" t="s">
        <v>23</v>
      </c>
      <c r="B10" s="181"/>
      <c r="C10" s="10"/>
      <c r="D10" s="25">
        <f t="shared" ref="D10:D12" si="5">12*E10</f>
        <v>0</v>
      </c>
      <c r="E10" s="12"/>
      <c r="F10" s="17"/>
      <c r="G10" s="14">
        <f>SUM(F10/9)*D10</f>
        <v>0</v>
      </c>
      <c r="H10" s="15">
        <v>0.23499999999999999</v>
      </c>
      <c r="I10" s="14">
        <f>G10*H10</f>
        <v>0</v>
      </c>
      <c r="J10" s="14">
        <f t="shared" ref="J10:J12" si="6">G10+I10</f>
        <v>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5">
      <c r="A11" s="183" t="s">
        <v>24</v>
      </c>
      <c r="B11" s="181"/>
      <c r="C11" s="10"/>
      <c r="D11" s="25">
        <f t="shared" si="5"/>
        <v>0</v>
      </c>
      <c r="E11" s="12"/>
      <c r="F11" s="17"/>
      <c r="G11" s="14">
        <f t="shared" ref="G11:G12" si="7">F11*E11</f>
        <v>0</v>
      </c>
      <c r="H11" s="15">
        <v>0.23499999999999999</v>
      </c>
      <c r="I11" s="14">
        <f t="shared" ref="I11:I12" si="8">(G11*H11)+(21138*E11)</f>
        <v>0</v>
      </c>
      <c r="J11" s="14">
        <f t="shared" si="6"/>
        <v>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25">
      <c r="A12" s="183" t="s">
        <v>24</v>
      </c>
      <c r="B12" s="181"/>
      <c r="C12" s="10"/>
      <c r="D12" s="25">
        <f t="shared" si="5"/>
        <v>0</v>
      </c>
      <c r="E12" s="12"/>
      <c r="F12" s="17"/>
      <c r="G12" s="14">
        <f t="shared" si="7"/>
        <v>0</v>
      </c>
      <c r="H12" s="19">
        <v>0.23499999999999999</v>
      </c>
      <c r="I12" s="14">
        <f t="shared" si="8"/>
        <v>0</v>
      </c>
      <c r="J12" s="14">
        <f t="shared" si="6"/>
        <v>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25">
      <c r="A13" s="187"/>
      <c r="B13" s="181"/>
      <c r="C13" s="26" t="s">
        <v>25</v>
      </c>
      <c r="D13" s="27" t="s">
        <v>26</v>
      </c>
      <c r="E13" s="28" t="s">
        <v>27</v>
      </c>
      <c r="F13" s="29" t="s">
        <v>28</v>
      </c>
      <c r="G13" s="30" t="s">
        <v>29</v>
      </c>
      <c r="H13" s="8" t="s">
        <v>14</v>
      </c>
      <c r="I13" s="8" t="s">
        <v>15</v>
      </c>
      <c r="J13" s="8" t="s">
        <v>16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25">
      <c r="A14" s="183" t="s">
        <v>30</v>
      </c>
      <c r="B14" s="181"/>
      <c r="C14" s="31"/>
      <c r="D14" s="32"/>
      <c r="E14" s="32"/>
      <c r="F14" s="17"/>
      <c r="G14" s="14">
        <f>F14*E14*D14+C14</f>
        <v>0</v>
      </c>
      <c r="H14" s="15">
        <v>7.0000000000000007E-2</v>
      </c>
      <c r="I14" s="14">
        <f t="shared" ref="I14:I17" si="9">G14*H14</f>
        <v>0</v>
      </c>
      <c r="J14" s="14">
        <f t="shared" ref="J14:J17" si="10">G14+I14</f>
        <v>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5">
      <c r="A15" s="183" t="s">
        <v>31</v>
      </c>
      <c r="B15" s="181"/>
      <c r="C15" s="31" t="s">
        <v>32</v>
      </c>
      <c r="D15" s="32">
        <v>42</v>
      </c>
      <c r="E15" s="32">
        <v>10</v>
      </c>
      <c r="F15" s="17">
        <v>14</v>
      </c>
      <c r="G15" s="14">
        <f>C15*D15*E15*F15</f>
        <v>5880</v>
      </c>
      <c r="H15" s="15">
        <v>7.0000000000000007E-2</v>
      </c>
      <c r="I15" s="14">
        <f t="shared" si="9"/>
        <v>411.6</v>
      </c>
      <c r="J15" s="14">
        <f t="shared" si="10"/>
        <v>6291.6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25">
      <c r="A16" s="183" t="s">
        <v>33</v>
      </c>
      <c r="B16" s="181"/>
      <c r="C16" s="31"/>
      <c r="D16" s="32"/>
      <c r="E16" s="32"/>
      <c r="F16" s="17"/>
      <c r="G16" s="14">
        <f t="shared" ref="G16:G17" si="11">F16*E16*D16+C16</f>
        <v>0</v>
      </c>
      <c r="H16" s="15">
        <v>9.5000000000000001E-2</v>
      </c>
      <c r="I16" s="14">
        <f t="shared" si="9"/>
        <v>0</v>
      </c>
      <c r="J16" s="14">
        <f t="shared" si="10"/>
        <v>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5">
      <c r="A17" s="183" t="s">
        <v>34</v>
      </c>
      <c r="B17" s="181"/>
      <c r="C17" s="31"/>
      <c r="D17" s="32"/>
      <c r="E17" s="32"/>
      <c r="F17" s="17"/>
      <c r="G17" s="14">
        <f t="shared" si="11"/>
        <v>0</v>
      </c>
      <c r="H17" s="15">
        <v>9.5000000000000001E-2</v>
      </c>
      <c r="I17" s="14">
        <f t="shared" si="9"/>
        <v>0</v>
      </c>
      <c r="J17" s="14">
        <f t="shared" si="10"/>
        <v>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5">
      <c r="A18" s="184" t="s">
        <v>35</v>
      </c>
      <c r="B18" s="185"/>
      <c r="C18" s="185"/>
      <c r="D18" s="185"/>
      <c r="E18" s="185"/>
      <c r="F18" s="186"/>
      <c r="G18" s="18">
        <f>SUM(G10:G17)</f>
        <v>5880</v>
      </c>
      <c r="H18" s="19"/>
      <c r="I18" s="20"/>
      <c r="J18" s="20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5">
      <c r="A19" s="33" t="s">
        <v>36</v>
      </c>
      <c r="B19" s="34"/>
      <c r="C19" s="34"/>
      <c r="D19" s="34"/>
      <c r="E19" s="34"/>
      <c r="F19" s="34"/>
      <c r="G19" s="35"/>
      <c r="H19" s="35"/>
      <c r="I19" s="36"/>
      <c r="J19" s="37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188"/>
      <c r="B20" s="179"/>
      <c r="C20" s="179"/>
      <c r="D20" s="179"/>
      <c r="E20" s="179"/>
      <c r="F20" s="181"/>
      <c r="G20" s="38">
        <f>SUM(G8+G18)</f>
        <v>83180</v>
      </c>
      <c r="H20" s="189" t="s">
        <v>37</v>
      </c>
      <c r="I20" s="39">
        <f t="shared" ref="I20:J20" si="12">SUM(I4:I19)</f>
        <v>43942.7</v>
      </c>
      <c r="J20" s="40">
        <f t="shared" si="12"/>
        <v>127122.70000000001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5">
      <c r="A21" s="191" t="s">
        <v>38</v>
      </c>
      <c r="B21" s="179"/>
      <c r="C21" s="179"/>
      <c r="D21" s="179"/>
      <c r="E21" s="179"/>
      <c r="F21" s="181"/>
      <c r="G21" s="9" t="s">
        <v>39</v>
      </c>
      <c r="H21" s="190"/>
      <c r="I21" s="41" t="s">
        <v>40</v>
      </c>
      <c r="J21" s="42" t="s">
        <v>41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.5" customHeight="1" x14ac:dyDescent="0.25">
      <c r="A22" s="43" t="s">
        <v>42</v>
      </c>
      <c r="B22" s="44"/>
      <c r="C22" s="45" t="s">
        <v>43</v>
      </c>
      <c r="D22" s="44"/>
      <c r="E22" s="44"/>
      <c r="F22" s="44"/>
      <c r="G22" s="46"/>
      <c r="H22" s="46"/>
      <c r="I22" s="44"/>
      <c r="J22" s="47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A23" s="48" t="s">
        <v>44</v>
      </c>
      <c r="B23" s="49"/>
      <c r="C23" s="50" t="s">
        <v>45</v>
      </c>
      <c r="D23" s="51"/>
      <c r="E23" s="51"/>
      <c r="F23" s="51"/>
      <c r="G23" s="51"/>
      <c r="H23" s="51"/>
      <c r="I23" s="51"/>
      <c r="J23" s="52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192" t="s">
        <v>46</v>
      </c>
      <c r="B24" s="179"/>
      <c r="C24" s="179"/>
      <c r="D24" s="179"/>
      <c r="E24" s="179"/>
      <c r="F24" s="179"/>
      <c r="G24" s="179"/>
      <c r="H24" s="179"/>
      <c r="I24" s="181"/>
      <c r="J24" s="53">
        <v>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192"/>
      <c r="B25" s="179"/>
      <c r="C25" s="179"/>
      <c r="D25" s="179"/>
      <c r="E25" s="179"/>
      <c r="F25" s="179"/>
      <c r="G25" s="179"/>
      <c r="H25" s="179"/>
      <c r="I25" s="181"/>
      <c r="J25" s="54">
        <v>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192"/>
      <c r="B26" s="179"/>
      <c r="C26" s="179"/>
      <c r="D26" s="179"/>
      <c r="E26" s="179"/>
      <c r="F26" s="179"/>
      <c r="G26" s="179"/>
      <c r="H26" s="179"/>
      <c r="I26" s="181"/>
      <c r="J26" s="55"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192"/>
      <c r="B27" s="179"/>
      <c r="C27" s="179"/>
      <c r="D27" s="179"/>
      <c r="E27" s="179"/>
      <c r="F27" s="179"/>
      <c r="G27" s="179"/>
      <c r="H27" s="179"/>
      <c r="I27" s="181"/>
      <c r="J27" s="55">
        <v>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56"/>
      <c r="B28" s="57"/>
      <c r="C28" s="57"/>
      <c r="D28" s="57"/>
      <c r="E28" s="57"/>
      <c r="F28" s="57"/>
      <c r="G28" s="57"/>
      <c r="H28" s="57"/>
      <c r="I28" s="58" t="s">
        <v>16</v>
      </c>
      <c r="J28" s="59">
        <f>SUM(J24:J27)</f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48" t="s">
        <v>47</v>
      </c>
      <c r="B29" s="51"/>
      <c r="C29" s="51"/>
      <c r="D29" s="51"/>
      <c r="E29" s="51"/>
      <c r="F29" s="51"/>
      <c r="G29" s="51"/>
      <c r="H29" s="51"/>
      <c r="I29" s="51"/>
      <c r="J29" s="52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192" t="s">
        <v>48</v>
      </c>
      <c r="B30" s="179"/>
      <c r="C30" s="179"/>
      <c r="D30" s="179"/>
      <c r="E30" s="179"/>
      <c r="F30" s="179"/>
      <c r="G30" s="179"/>
      <c r="H30" s="179"/>
      <c r="I30" s="181"/>
      <c r="J30" s="60">
        <v>3375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192" t="s">
        <v>49</v>
      </c>
      <c r="B31" s="179"/>
      <c r="C31" s="179"/>
      <c r="D31" s="179"/>
      <c r="E31" s="179"/>
      <c r="F31" s="179"/>
      <c r="G31" s="179"/>
      <c r="H31" s="179"/>
      <c r="I31" s="181"/>
      <c r="J31" s="61">
        <v>5000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192"/>
      <c r="B32" s="179"/>
      <c r="C32" s="179"/>
      <c r="D32" s="179"/>
      <c r="E32" s="179"/>
      <c r="F32" s="179"/>
      <c r="G32" s="179"/>
      <c r="H32" s="179"/>
      <c r="I32" s="181"/>
      <c r="J32" s="61">
        <v>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56"/>
      <c r="B33" s="57"/>
      <c r="C33" s="57"/>
      <c r="D33" s="57"/>
      <c r="E33" s="57"/>
      <c r="F33" s="57"/>
      <c r="G33" s="57"/>
      <c r="H33" s="62"/>
      <c r="I33" s="63" t="s">
        <v>16</v>
      </c>
      <c r="J33" s="59">
        <f>SUM(J30:J32)</f>
        <v>8375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48" t="s">
        <v>50</v>
      </c>
      <c r="B34" s="51"/>
      <c r="C34" s="51"/>
      <c r="D34" s="51"/>
      <c r="E34" s="51"/>
      <c r="F34" s="51"/>
      <c r="G34" s="51"/>
      <c r="H34" s="51"/>
      <c r="I34" s="64"/>
      <c r="J34" s="5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196" t="s">
        <v>51</v>
      </c>
      <c r="B35" s="185"/>
      <c r="C35" s="185"/>
      <c r="D35" s="185"/>
      <c r="E35" s="185"/>
      <c r="F35" s="185"/>
      <c r="G35" s="185"/>
      <c r="H35" s="186"/>
      <c r="I35" s="65">
        <v>8</v>
      </c>
      <c r="J35" s="60">
        <v>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192" t="s">
        <v>52</v>
      </c>
      <c r="B36" s="179"/>
      <c r="C36" s="179"/>
      <c r="D36" s="179"/>
      <c r="E36" s="179"/>
      <c r="F36" s="179"/>
      <c r="G36" s="179"/>
      <c r="H36" s="179"/>
      <c r="I36" s="181"/>
      <c r="J36" s="37">
        <v>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192" t="s">
        <v>53</v>
      </c>
      <c r="B37" s="179"/>
      <c r="C37" s="179"/>
      <c r="D37" s="179"/>
      <c r="E37" s="179"/>
      <c r="F37" s="179"/>
      <c r="G37" s="179"/>
      <c r="H37" s="179"/>
      <c r="I37" s="181"/>
      <c r="J37" s="37">
        <v>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192" t="s">
        <v>54</v>
      </c>
      <c r="B38" s="179"/>
      <c r="C38" s="179"/>
      <c r="D38" s="179"/>
      <c r="E38" s="179"/>
      <c r="F38" s="179"/>
      <c r="G38" s="179"/>
      <c r="H38" s="179"/>
      <c r="I38" s="181"/>
      <c r="J38" s="61">
        <v>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192" t="s">
        <v>55</v>
      </c>
      <c r="B39" s="179"/>
      <c r="C39" s="179"/>
      <c r="D39" s="179"/>
      <c r="E39" s="179"/>
      <c r="F39" s="179"/>
      <c r="G39" s="179"/>
      <c r="H39" s="179"/>
      <c r="I39" s="181"/>
      <c r="J39" s="66">
        <f>1250*8</f>
        <v>10000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67"/>
      <c r="B40" s="68"/>
      <c r="C40" s="68"/>
      <c r="D40" s="68"/>
      <c r="E40" s="68"/>
      <c r="F40" s="68"/>
      <c r="G40" s="68"/>
      <c r="H40" s="69"/>
      <c r="I40" s="63" t="s">
        <v>16</v>
      </c>
      <c r="J40" s="70">
        <f>SUM(J35:J39)</f>
        <v>10000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48" t="s">
        <v>56</v>
      </c>
      <c r="B41" s="51"/>
      <c r="C41" s="51"/>
      <c r="D41" s="51"/>
      <c r="E41" s="51"/>
      <c r="F41" s="51"/>
      <c r="G41" s="51"/>
      <c r="H41" s="51"/>
      <c r="I41" s="51"/>
      <c r="J41" s="52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192" t="s">
        <v>57</v>
      </c>
      <c r="B42" s="179"/>
      <c r="C42" s="179"/>
      <c r="D42" s="179"/>
      <c r="E42" s="179"/>
      <c r="F42" s="179"/>
      <c r="G42" s="179"/>
      <c r="H42" s="179"/>
      <c r="I42" s="181"/>
      <c r="J42" s="60">
        <v>5000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192" t="s">
        <v>58</v>
      </c>
      <c r="B43" s="179"/>
      <c r="C43" s="179"/>
      <c r="D43" s="179"/>
      <c r="E43" s="179"/>
      <c r="F43" s="179"/>
      <c r="G43" s="179"/>
      <c r="H43" s="179"/>
      <c r="I43" s="181"/>
      <c r="J43" s="37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192" t="s">
        <v>59</v>
      </c>
      <c r="B44" s="179"/>
      <c r="C44" s="179"/>
      <c r="D44" s="179"/>
      <c r="E44" s="179"/>
      <c r="F44" s="179"/>
      <c r="G44" s="179"/>
      <c r="H44" s="179"/>
      <c r="I44" s="181"/>
      <c r="J44" s="37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192" t="s">
        <v>60</v>
      </c>
      <c r="B45" s="179"/>
      <c r="C45" s="179"/>
      <c r="D45" s="179"/>
      <c r="E45" s="179"/>
      <c r="F45" s="179"/>
      <c r="G45" s="179"/>
      <c r="H45" s="179"/>
      <c r="I45" s="181"/>
      <c r="J45" s="37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192"/>
      <c r="B46" s="179"/>
      <c r="C46" s="179"/>
      <c r="D46" s="179"/>
      <c r="E46" s="179"/>
      <c r="F46" s="179"/>
      <c r="G46" s="179"/>
      <c r="H46" s="179"/>
      <c r="I46" s="181"/>
      <c r="J46" s="37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8" x14ac:dyDescent="0.25">
      <c r="A47" s="67" t="s">
        <v>61</v>
      </c>
      <c r="B47" s="71"/>
      <c r="C47" s="71"/>
      <c r="D47" s="71"/>
      <c r="E47" s="71"/>
      <c r="F47" s="71"/>
      <c r="G47" s="71"/>
      <c r="H47" s="72"/>
      <c r="I47" s="73" t="s">
        <v>62</v>
      </c>
      <c r="J47" s="74">
        <f>SUM(G48:G50)</f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75" t="s">
        <v>63</v>
      </c>
      <c r="B48" s="76" t="s">
        <v>64</v>
      </c>
      <c r="C48" s="77"/>
      <c r="D48" s="77"/>
      <c r="E48" s="77"/>
      <c r="F48" s="78"/>
      <c r="G48" s="79">
        <v>0</v>
      </c>
      <c r="H48" s="80"/>
      <c r="I48" s="81"/>
      <c r="J48" s="61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82" t="s">
        <v>65</v>
      </c>
      <c r="B49" s="76" t="s">
        <v>64</v>
      </c>
      <c r="C49" s="77"/>
      <c r="D49" s="77"/>
      <c r="E49" s="77"/>
      <c r="F49" s="78"/>
      <c r="G49" s="79">
        <v>0</v>
      </c>
      <c r="H49" s="83"/>
      <c r="I49" s="81"/>
      <c r="J49" s="61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84" t="s">
        <v>66</v>
      </c>
      <c r="B50" s="85" t="s">
        <v>64</v>
      </c>
      <c r="C50" s="86"/>
      <c r="D50" s="86"/>
      <c r="E50" s="86"/>
      <c r="F50" s="87"/>
      <c r="G50" s="88">
        <v>0</v>
      </c>
      <c r="H50" s="89"/>
      <c r="I50" s="90"/>
      <c r="J50" s="37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193"/>
      <c r="B51" s="194"/>
      <c r="C51" s="194"/>
      <c r="D51" s="194"/>
      <c r="E51" s="194"/>
      <c r="F51" s="194"/>
      <c r="G51" s="194"/>
      <c r="H51" s="195"/>
      <c r="I51" s="63" t="s">
        <v>16</v>
      </c>
      <c r="J51" s="91">
        <f>SUM(J42:J50)</f>
        <v>5000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customHeight="1" x14ac:dyDescent="0.25">
      <c r="A52" s="92" t="s">
        <v>67</v>
      </c>
      <c r="B52" s="93"/>
      <c r="C52" s="93"/>
      <c r="D52" s="93"/>
      <c r="E52" s="93"/>
      <c r="F52" s="93"/>
      <c r="G52" s="93"/>
      <c r="H52" s="94"/>
      <c r="I52" s="95"/>
      <c r="J52" s="96">
        <f>SUM(J51+J39+J33+J28+J20)</f>
        <v>150497.70000000001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97"/>
      <c r="B53" s="98"/>
      <c r="C53" s="98"/>
      <c r="D53" s="98"/>
      <c r="E53" s="99" t="s">
        <v>68</v>
      </c>
      <c r="F53" s="100"/>
      <c r="G53" s="101" t="s">
        <v>69</v>
      </c>
      <c r="H53" s="102"/>
      <c r="I53" s="103"/>
      <c r="J53" s="104"/>
      <c r="K53" s="5"/>
      <c r="L53" s="10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106" t="s">
        <v>70</v>
      </c>
      <c r="B54" s="106"/>
      <c r="C54" s="107" t="s">
        <v>71</v>
      </c>
      <c r="D54" s="106"/>
      <c r="E54" s="108">
        <f>J20</f>
        <v>127122.70000000001</v>
      </c>
      <c r="F54" s="109"/>
      <c r="G54" s="110">
        <v>0.45</v>
      </c>
      <c r="H54" s="102"/>
      <c r="I54" s="103"/>
      <c r="J54" s="111">
        <f>E54*G54</f>
        <v>57205.215000000004</v>
      </c>
      <c r="K54" s="11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113"/>
      <c r="B55" s="114"/>
      <c r="C55" s="114"/>
      <c r="D55" s="114"/>
      <c r="E55" s="115"/>
      <c r="F55" s="116"/>
      <c r="G55" s="117"/>
      <c r="H55" s="102"/>
      <c r="I55" s="103"/>
      <c r="J55" s="100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" customHeight="1" x14ac:dyDescent="0.25">
      <c r="A56" s="118" t="s">
        <v>72</v>
      </c>
      <c r="B56" s="119"/>
      <c r="C56" s="119"/>
      <c r="D56" s="119"/>
      <c r="E56" s="119"/>
      <c r="F56" s="119"/>
      <c r="G56" s="119"/>
      <c r="H56" s="120"/>
      <c r="I56" s="121" t="s">
        <v>73</v>
      </c>
      <c r="J56" s="122">
        <f>SUM(J52:J54)</f>
        <v>207702.91500000001</v>
      </c>
      <c r="K56" s="12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7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125" t="s">
        <v>74</v>
      </c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9">
    <mergeCell ref="A51:H51"/>
    <mergeCell ref="A35:H35"/>
    <mergeCell ref="A36:I36"/>
    <mergeCell ref="A37:I37"/>
    <mergeCell ref="A38:I38"/>
    <mergeCell ref="A39:I39"/>
    <mergeCell ref="A42:I42"/>
    <mergeCell ref="A43:I43"/>
    <mergeCell ref="A31:I31"/>
    <mergeCell ref="A32:I32"/>
    <mergeCell ref="A44:I44"/>
    <mergeCell ref="A45:I45"/>
    <mergeCell ref="A46:I46"/>
    <mergeCell ref="A24:I24"/>
    <mergeCell ref="A25:I25"/>
    <mergeCell ref="A26:I26"/>
    <mergeCell ref="A27:I27"/>
    <mergeCell ref="A30:I30"/>
    <mergeCell ref="A16:B16"/>
    <mergeCell ref="A17:B17"/>
    <mergeCell ref="A18:F18"/>
    <mergeCell ref="A20:F20"/>
    <mergeCell ref="H20:H21"/>
    <mergeCell ref="A21:F21"/>
    <mergeCell ref="A11:B11"/>
    <mergeCell ref="A12:B12"/>
    <mergeCell ref="A13:B13"/>
    <mergeCell ref="A14:B14"/>
    <mergeCell ref="A15:B15"/>
    <mergeCell ref="A5:B5"/>
    <mergeCell ref="A6:B6"/>
    <mergeCell ref="A7:B7"/>
    <mergeCell ref="A8:F8"/>
    <mergeCell ref="A10:B10"/>
    <mergeCell ref="A1:B1"/>
    <mergeCell ref="C1:E1"/>
    <mergeCell ref="B2:E2"/>
    <mergeCell ref="F2:J2"/>
    <mergeCell ref="A4:B4"/>
  </mergeCells>
  <conditionalFormatting sqref="D4:D7 G4:G7 I4:J8 D10:D12 G10:G12 I10:J12 G14:G17 I14:J17 J24:J27 J30:J32 J35:J39 J42:J46 J48:J50">
    <cfRule type="cellIs" dxfId="25" priority="1" operator="equal">
      <formula>0</formula>
    </cfRule>
  </conditionalFormatting>
  <printOptions horizontalCentered="1" gridLines="1"/>
  <pageMargins left="0.25" right="0.25" top="0.25" bottom="0.25" header="0" footer="0"/>
  <pageSetup orientation="landscape"/>
  <headerFooter>
    <oddHeader>&amp;LYear 1 &amp;CSummary Proposal Budget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6" workbookViewId="0">
      <selection sqref="A1:B1"/>
    </sheetView>
  </sheetViews>
  <sheetFormatPr defaultColWidth="12.6640625" defaultRowHeight="15" customHeight="1" x14ac:dyDescent="0.25"/>
  <cols>
    <col min="1" max="1" width="9.77734375" customWidth="1"/>
    <col min="2" max="2" width="30.109375" customWidth="1"/>
    <col min="3" max="3" width="13" customWidth="1"/>
    <col min="4" max="4" width="10" customWidth="1"/>
    <col min="5" max="5" width="9.21875" customWidth="1"/>
    <col min="6" max="6" width="12" customWidth="1"/>
    <col min="7" max="7" width="17.21875" customWidth="1"/>
    <col min="8" max="8" width="11.6640625" customWidth="1"/>
    <col min="9" max="9" width="15.109375" customWidth="1"/>
    <col min="10" max="10" width="11.88671875" customWidth="1"/>
    <col min="11" max="26" width="14.44140625" customWidth="1"/>
  </cols>
  <sheetData>
    <row r="1" spans="1:26" ht="24.75" customHeight="1" x14ac:dyDescent="0.25">
      <c r="A1" s="197" t="s">
        <v>0</v>
      </c>
      <c r="B1" s="198"/>
      <c r="C1" s="199" t="str">
        <f>Year1!C1</f>
        <v>Sylvia Bradshaw</v>
      </c>
      <c r="D1" s="200"/>
      <c r="E1" s="198"/>
      <c r="F1" s="126" t="s">
        <v>2</v>
      </c>
      <c r="G1" s="127">
        <f>DATE(YEAR('All Years'!B21)+'All Years'!B18,MONTH('All Years'!B21),DAY('All Years'!B21))</f>
        <v>45839</v>
      </c>
      <c r="H1" s="128" t="s">
        <v>3</v>
      </c>
      <c r="I1" s="127">
        <f>DATE(YEAR('All Years'!B22)+'All Years'!B18,MONTH('All Years'!B22),DAY('All Years'!B22))</f>
        <v>46203</v>
      </c>
      <c r="J1" s="129" t="s">
        <v>75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4.75" customHeight="1" x14ac:dyDescent="0.25">
      <c r="A2" s="6" t="s">
        <v>5</v>
      </c>
      <c r="B2" s="180" t="str">
        <f>Year1!B2</f>
        <v>NSF GRANTED - University of Idaho</v>
      </c>
      <c r="C2" s="179"/>
      <c r="D2" s="179"/>
      <c r="E2" s="179"/>
      <c r="F2" s="179"/>
      <c r="G2" s="179"/>
      <c r="H2" s="179"/>
      <c r="I2" s="177"/>
      <c r="J2" s="13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7" t="s">
        <v>8</v>
      </c>
      <c r="B3" s="7"/>
      <c r="C3" s="8" t="s">
        <v>9</v>
      </c>
      <c r="D3" s="8" t="s">
        <v>10</v>
      </c>
      <c r="E3" s="8" t="s">
        <v>11</v>
      </c>
      <c r="F3" s="8" t="s">
        <v>12</v>
      </c>
      <c r="G3" s="9" t="s">
        <v>13</v>
      </c>
      <c r="H3" s="8" t="s">
        <v>14</v>
      </c>
      <c r="I3" s="8" t="s">
        <v>15</v>
      </c>
      <c r="J3" s="8" t="s">
        <v>16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183" t="str">
        <f>Year1!A4</f>
        <v>Sylvia Bradshaw</v>
      </c>
      <c r="B4" s="181"/>
      <c r="C4" s="10" t="str">
        <f>Year1!C4</f>
        <v>PI</v>
      </c>
      <c r="D4" s="11">
        <f t="shared" ref="D4:D7" si="0">12*E4</f>
        <v>0.60000000000000009</v>
      </c>
      <c r="E4" s="15">
        <f>Year1!E4</f>
        <v>0.05</v>
      </c>
      <c r="F4" s="14">
        <f>Year1!F4*(1+'All Years'!C20)</f>
        <v>118450</v>
      </c>
      <c r="G4" s="14">
        <f t="shared" ref="G4:G6" si="1">SUM(F4/12)*D4</f>
        <v>5922.5000000000009</v>
      </c>
      <c r="H4" s="15">
        <v>0.23499999999999999</v>
      </c>
      <c r="I4" s="14">
        <f t="shared" ref="I4:I6" si="2">(G4*H4)+(21138*E4)</f>
        <v>2448.6875</v>
      </c>
      <c r="J4" s="14">
        <f t="shared" ref="J4:J7" si="3">G4+I4</f>
        <v>8371.1875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183" t="str">
        <f>Year1!A5</f>
        <v>Katie Gomez</v>
      </c>
      <c r="B5" s="181"/>
      <c r="C5" s="10">
        <f>Year1!C5</f>
        <v>0</v>
      </c>
      <c r="D5" s="11">
        <f t="shared" si="0"/>
        <v>1.7999999999999998</v>
      </c>
      <c r="E5" s="15">
        <f>Year1!E5</f>
        <v>0.15</v>
      </c>
      <c r="F5" s="14">
        <f>Year1!F5*(1+'All Years'!C20)</f>
        <v>79310</v>
      </c>
      <c r="G5" s="14">
        <f t="shared" si="1"/>
        <v>11896.5</v>
      </c>
      <c r="H5" s="15">
        <v>0.23499999999999999</v>
      </c>
      <c r="I5" s="14">
        <f t="shared" si="2"/>
        <v>5966.3774999999996</v>
      </c>
      <c r="J5" s="14">
        <f t="shared" si="3"/>
        <v>17862.877499999999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25">
      <c r="A6" s="183" t="str">
        <f>Year1!A6</f>
        <v>TBD - Data Analyst</v>
      </c>
      <c r="B6" s="181"/>
      <c r="C6" s="10">
        <f>Year1!C6</f>
        <v>0</v>
      </c>
      <c r="D6" s="11">
        <f t="shared" si="0"/>
        <v>12</v>
      </c>
      <c r="E6" s="15">
        <f>Year1!E6</f>
        <v>1</v>
      </c>
      <c r="F6" s="14">
        <f>Year1!F6*(1+'All Years'!C20)</f>
        <v>61800</v>
      </c>
      <c r="G6" s="14">
        <f t="shared" si="1"/>
        <v>61800</v>
      </c>
      <c r="H6" s="15">
        <v>0.23499999999999999</v>
      </c>
      <c r="I6" s="14">
        <f t="shared" si="2"/>
        <v>35661</v>
      </c>
      <c r="J6" s="14">
        <f t="shared" si="3"/>
        <v>97461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5">
      <c r="A7" s="183" t="str">
        <f>Year1!A7</f>
        <v>Name here (e.g., co-PI, Sr. Personnel)</v>
      </c>
      <c r="B7" s="181"/>
      <c r="C7" s="10">
        <f>Year1!C7</f>
        <v>0</v>
      </c>
      <c r="D7" s="11">
        <f t="shared" si="0"/>
        <v>0</v>
      </c>
      <c r="E7" s="15">
        <f>Year1!E7</f>
        <v>0</v>
      </c>
      <c r="F7" s="14">
        <f>Year1!F7*(1+'All Years'!C20)</f>
        <v>0</v>
      </c>
      <c r="G7" s="14">
        <f>SUM(F7/9)*D7</f>
        <v>0</v>
      </c>
      <c r="H7" s="15">
        <v>0.23499999999999999</v>
      </c>
      <c r="I7" s="14">
        <f>G7*H7</f>
        <v>0</v>
      </c>
      <c r="J7" s="14">
        <f t="shared" si="3"/>
        <v>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184" t="s">
        <v>21</v>
      </c>
      <c r="B8" s="185"/>
      <c r="C8" s="185"/>
      <c r="D8" s="185"/>
      <c r="E8" s="185"/>
      <c r="F8" s="186"/>
      <c r="G8" s="18">
        <f>SUM(G4:G7)</f>
        <v>79619</v>
      </c>
      <c r="H8" s="19"/>
      <c r="I8" s="20"/>
      <c r="J8" s="20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21" t="s">
        <v>22</v>
      </c>
      <c r="B9" s="21"/>
      <c r="C9" s="22" t="s">
        <v>9</v>
      </c>
      <c r="D9" s="22" t="s">
        <v>10</v>
      </c>
      <c r="E9" s="22" t="s">
        <v>11</v>
      </c>
      <c r="F9" s="22" t="s">
        <v>12</v>
      </c>
      <c r="G9" s="23" t="s">
        <v>13</v>
      </c>
      <c r="H9" s="22" t="s">
        <v>14</v>
      </c>
      <c r="I9" s="22" t="s">
        <v>15</v>
      </c>
      <c r="J9" s="24" t="s">
        <v>16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183" t="str">
        <f>Year1!A10</f>
        <v>Postdoctoral Scholars (*faculty benefit rate)</v>
      </c>
      <c r="B10" s="181"/>
      <c r="C10" s="10">
        <f>Year1!C10</f>
        <v>0</v>
      </c>
      <c r="D10" s="25">
        <f t="shared" ref="D10:D12" si="4">12*E10</f>
        <v>0</v>
      </c>
      <c r="E10" s="15">
        <f>Year1!E10</f>
        <v>0</v>
      </c>
      <c r="F10" s="14">
        <f>Year1!F10*(1+'All Years'!C20)</f>
        <v>0</v>
      </c>
      <c r="G10" s="14">
        <f>SUM(F10/9)*D10</f>
        <v>0</v>
      </c>
      <c r="H10" s="15">
        <v>0.23499999999999999</v>
      </c>
      <c r="I10" s="14">
        <f>G10*H10</f>
        <v>0</v>
      </c>
      <c r="J10" s="14">
        <f t="shared" ref="J10:J12" si="5">G10+I10</f>
        <v>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5">
      <c r="A11" s="183" t="str">
        <f>Year1!A11</f>
        <v>Other Professionals (**staff benefit rate)</v>
      </c>
      <c r="B11" s="181"/>
      <c r="C11" s="10">
        <f>Year1!C11</f>
        <v>0</v>
      </c>
      <c r="D11" s="25">
        <f t="shared" si="4"/>
        <v>0</v>
      </c>
      <c r="E11" s="15">
        <f>Year1!E11</f>
        <v>0</v>
      </c>
      <c r="F11" s="14">
        <f>Year1!F11*(1+'All Years'!C20)</f>
        <v>0</v>
      </c>
      <c r="G11" s="14">
        <f t="shared" ref="G11:G12" si="6">F11*E11</f>
        <v>0</v>
      </c>
      <c r="H11" s="15">
        <v>0.23499999999999999</v>
      </c>
      <c r="I11" s="14">
        <f t="shared" ref="I11:I12" si="7">(G11*H11)+(21138*E11)</f>
        <v>0</v>
      </c>
      <c r="J11" s="14">
        <f t="shared" si="5"/>
        <v>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25">
      <c r="A12" s="183" t="str">
        <f>Year1!A12</f>
        <v>Other Professionals (**staff benefit rate)</v>
      </c>
      <c r="B12" s="181"/>
      <c r="C12" s="10">
        <f>Year1!C12</f>
        <v>0</v>
      </c>
      <c r="D12" s="25">
        <f t="shared" si="4"/>
        <v>0</v>
      </c>
      <c r="E12" s="15">
        <f>Year1!E12</f>
        <v>0</v>
      </c>
      <c r="F12" s="14">
        <f>Year1!F12*(1+'All Years'!C20)</f>
        <v>0</v>
      </c>
      <c r="G12" s="14">
        <f t="shared" si="6"/>
        <v>0</v>
      </c>
      <c r="H12" s="19">
        <v>0.23499999999999999</v>
      </c>
      <c r="I12" s="14">
        <f t="shared" si="7"/>
        <v>0</v>
      </c>
      <c r="J12" s="14">
        <f t="shared" si="5"/>
        <v>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25">
      <c r="A13" s="187"/>
      <c r="B13" s="181"/>
      <c r="C13" s="26" t="s">
        <v>25</v>
      </c>
      <c r="D13" s="27" t="s">
        <v>26</v>
      </c>
      <c r="E13" s="28" t="s">
        <v>27</v>
      </c>
      <c r="F13" s="29" t="s">
        <v>28</v>
      </c>
      <c r="G13" s="131" t="s">
        <v>29</v>
      </c>
      <c r="H13" s="8" t="s">
        <v>14</v>
      </c>
      <c r="I13" s="8" t="s">
        <v>15</v>
      </c>
      <c r="J13" s="8" t="s">
        <v>16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25">
      <c r="A14" s="183" t="str">
        <f>Year1!A14</f>
        <v>Graduate Students (*student benefit rate)</v>
      </c>
      <c r="B14" s="181"/>
      <c r="C14" s="132">
        <f>Year1!C14</f>
        <v>0</v>
      </c>
      <c r="D14" s="132">
        <f>Year1!D14</f>
        <v>0</v>
      </c>
      <c r="E14" s="132">
        <f>Year1!E14</f>
        <v>0</v>
      </c>
      <c r="F14" s="133">
        <f>Year1!F14*(1+'All Years'!C20)</f>
        <v>0</v>
      </c>
      <c r="G14" s="14">
        <f>F14*E14*D14*C14</f>
        <v>0</v>
      </c>
      <c r="H14" s="15">
        <v>7.0000000000000007E-2</v>
      </c>
      <c r="I14" s="14">
        <f t="shared" ref="I14:I17" si="8">G14*H14</f>
        <v>0</v>
      </c>
      <c r="J14" s="14">
        <f t="shared" ref="J14:J15" si="9">G14+I14</f>
        <v>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5">
      <c r="A15" s="183" t="str">
        <f>Year1!A15</f>
        <v>Undergraduate Students (*student benefit rate)</v>
      </c>
      <c r="B15" s="181"/>
      <c r="C15" s="132" t="str">
        <f>Year1!C15</f>
        <v>1</v>
      </c>
      <c r="D15" s="132">
        <f>Year1!D15</f>
        <v>42</v>
      </c>
      <c r="E15" s="132">
        <f>Year1!E15</f>
        <v>10</v>
      </c>
      <c r="F15" s="133">
        <v>15</v>
      </c>
      <c r="G15" s="14">
        <f>C15*D15*E15*F15</f>
        <v>6300</v>
      </c>
      <c r="H15" s="15">
        <v>7.0000000000000007E-2</v>
      </c>
      <c r="I15" s="14">
        <f t="shared" si="8"/>
        <v>441.00000000000006</v>
      </c>
      <c r="J15" s="14">
        <f t="shared" si="9"/>
        <v>6741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25">
      <c r="A16" s="183" t="str">
        <f>Year1!A16</f>
        <v>Administrative/Clerical (**non-Student benefit rate)</v>
      </c>
      <c r="B16" s="181"/>
      <c r="C16" s="132">
        <f>Year1!C16</f>
        <v>0</v>
      </c>
      <c r="D16" s="132">
        <f>Year1!D16</f>
        <v>0</v>
      </c>
      <c r="E16" s="132">
        <f>Year1!E16</f>
        <v>0</v>
      </c>
      <c r="F16" s="133">
        <f>Year1!F16*(1+'All Years'!C20)</f>
        <v>0</v>
      </c>
      <c r="G16" s="14">
        <f t="shared" ref="G16:G17" si="10">F16*E16*D16*C16</f>
        <v>0</v>
      </c>
      <c r="H16" s="15">
        <v>9.5000000000000001E-2</v>
      </c>
      <c r="I16" s="14">
        <f t="shared" si="8"/>
        <v>0</v>
      </c>
      <c r="J16" s="1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5">
      <c r="A17" s="183" t="str">
        <f>Year1!A17</f>
        <v>Other (**non-student benefit rate)</v>
      </c>
      <c r="B17" s="181"/>
      <c r="C17" s="132">
        <f>Year1!C17</f>
        <v>0</v>
      </c>
      <c r="D17" s="132">
        <f>Year1!D17</f>
        <v>0</v>
      </c>
      <c r="E17" s="132">
        <f>Year1!E17</f>
        <v>0</v>
      </c>
      <c r="F17" s="133">
        <f>Year1!F17*(1+'All Years'!C20)</f>
        <v>0</v>
      </c>
      <c r="G17" s="14">
        <f t="shared" si="10"/>
        <v>0</v>
      </c>
      <c r="H17" s="15">
        <v>9.5000000000000001E-2</v>
      </c>
      <c r="I17" s="14">
        <f t="shared" si="8"/>
        <v>0</v>
      </c>
      <c r="J17" s="1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5">
      <c r="A18" s="184" t="s">
        <v>35</v>
      </c>
      <c r="B18" s="185"/>
      <c r="C18" s="185"/>
      <c r="D18" s="185"/>
      <c r="E18" s="185"/>
      <c r="F18" s="186"/>
      <c r="G18" s="18">
        <f>SUM(G10:G17)</f>
        <v>6300</v>
      </c>
      <c r="H18" s="19"/>
      <c r="I18" s="20"/>
      <c r="J18" s="20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5">
      <c r="A19" s="33" t="s">
        <v>36</v>
      </c>
      <c r="B19" s="34"/>
      <c r="C19" s="34"/>
      <c r="D19" s="34"/>
      <c r="E19" s="34"/>
      <c r="F19" s="34"/>
      <c r="G19" s="35"/>
      <c r="H19" s="35"/>
      <c r="I19" s="36"/>
      <c r="J19" s="37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188"/>
      <c r="B20" s="179"/>
      <c r="C20" s="179"/>
      <c r="D20" s="179"/>
      <c r="E20" s="179"/>
      <c r="F20" s="181"/>
      <c r="G20" s="38">
        <f>G8+G18</f>
        <v>85919</v>
      </c>
      <c r="H20" s="189" t="s">
        <v>37</v>
      </c>
      <c r="I20" s="39">
        <f t="shared" ref="I20:J20" si="11">SUM(I4:I19)</f>
        <v>44517.065000000002</v>
      </c>
      <c r="J20" s="40">
        <f t="shared" si="11"/>
        <v>130436.065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5">
      <c r="A21" s="191" t="s">
        <v>38</v>
      </c>
      <c r="B21" s="179"/>
      <c r="C21" s="179"/>
      <c r="D21" s="179"/>
      <c r="E21" s="179"/>
      <c r="F21" s="181"/>
      <c r="G21" s="9" t="s">
        <v>39</v>
      </c>
      <c r="H21" s="190"/>
      <c r="I21" s="41" t="s">
        <v>40</v>
      </c>
      <c r="J21" s="42" t="s">
        <v>41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.5" customHeight="1" x14ac:dyDescent="0.25">
      <c r="A22" s="43" t="s">
        <v>42</v>
      </c>
      <c r="B22" s="44"/>
      <c r="C22" s="45" t="s">
        <v>43</v>
      </c>
      <c r="D22" s="44"/>
      <c r="E22" s="44"/>
      <c r="F22" s="44"/>
      <c r="G22" s="46"/>
      <c r="H22" s="46"/>
      <c r="I22" s="44"/>
      <c r="J22" s="47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A23" s="48" t="s">
        <v>76</v>
      </c>
      <c r="B23" s="49"/>
      <c r="C23" s="50" t="s">
        <v>45</v>
      </c>
      <c r="D23" s="51"/>
      <c r="E23" s="51"/>
      <c r="F23" s="51"/>
      <c r="G23" s="51"/>
      <c r="H23" s="51"/>
      <c r="I23" s="51"/>
      <c r="J23" s="52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192" t="s">
        <v>46</v>
      </c>
      <c r="B24" s="179"/>
      <c r="C24" s="179"/>
      <c r="D24" s="179"/>
      <c r="E24" s="179"/>
      <c r="F24" s="179"/>
      <c r="G24" s="179"/>
      <c r="H24" s="179"/>
      <c r="I24" s="181"/>
      <c r="J24" s="53">
        <v>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192"/>
      <c r="B25" s="179"/>
      <c r="C25" s="179"/>
      <c r="D25" s="179"/>
      <c r="E25" s="179"/>
      <c r="F25" s="179"/>
      <c r="G25" s="179"/>
      <c r="H25" s="179"/>
      <c r="I25" s="181"/>
      <c r="J25" s="54">
        <v>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192"/>
      <c r="B26" s="179"/>
      <c r="C26" s="179"/>
      <c r="D26" s="179"/>
      <c r="E26" s="179"/>
      <c r="F26" s="179"/>
      <c r="G26" s="179"/>
      <c r="H26" s="179"/>
      <c r="I26" s="181"/>
      <c r="J26" s="55"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192"/>
      <c r="B27" s="179"/>
      <c r="C27" s="179"/>
      <c r="D27" s="179"/>
      <c r="E27" s="179"/>
      <c r="F27" s="179"/>
      <c r="G27" s="179"/>
      <c r="H27" s="179"/>
      <c r="I27" s="181"/>
      <c r="J27" s="55">
        <v>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56"/>
      <c r="B28" s="57"/>
      <c r="C28" s="57"/>
      <c r="D28" s="57"/>
      <c r="E28" s="57"/>
      <c r="F28" s="57"/>
      <c r="G28" s="57"/>
      <c r="H28" s="57"/>
      <c r="I28" s="58" t="s">
        <v>16</v>
      </c>
      <c r="J28" s="59">
        <f>SUM(J24:J27)</f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48" t="s">
        <v>47</v>
      </c>
      <c r="B29" s="51"/>
      <c r="C29" s="51"/>
      <c r="D29" s="51"/>
      <c r="E29" s="51"/>
      <c r="F29" s="51"/>
      <c r="G29" s="51"/>
      <c r="H29" s="51"/>
      <c r="I29" s="51"/>
      <c r="J29" s="52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192" t="s">
        <v>48</v>
      </c>
      <c r="B30" s="179"/>
      <c r="C30" s="179"/>
      <c r="D30" s="179"/>
      <c r="E30" s="179"/>
      <c r="F30" s="179"/>
      <c r="G30" s="179"/>
      <c r="H30" s="179"/>
      <c r="I30" s="181"/>
      <c r="J30" s="60">
        <v>3375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192" t="s">
        <v>49</v>
      </c>
      <c r="B31" s="179"/>
      <c r="C31" s="179"/>
      <c r="D31" s="179"/>
      <c r="E31" s="179"/>
      <c r="F31" s="179"/>
      <c r="G31" s="179"/>
      <c r="H31" s="179"/>
      <c r="I31" s="181"/>
      <c r="J31" s="61">
        <v>5000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192"/>
      <c r="B32" s="179"/>
      <c r="C32" s="179"/>
      <c r="D32" s="179"/>
      <c r="E32" s="179"/>
      <c r="F32" s="179"/>
      <c r="G32" s="179"/>
      <c r="H32" s="179"/>
      <c r="I32" s="181"/>
      <c r="J32" s="61">
        <v>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56"/>
      <c r="B33" s="57"/>
      <c r="C33" s="57"/>
      <c r="D33" s="57"/>
      <c r="E33" s="57"/>
      <c r="F33" s="57"/>
      <c r="G33" s="57"/>
      <c r="H33" s="62"/>
      <c r="I33" s="63" t="s">
        <v>16</v>
      </c>
      <c r="J33" s="59">
        <f>SUM(J30:J32)</f>
        <v>8375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48" t="s">
        <v>77</v>
      </c>
      <c r="B34" s="51"/>
      <c r="C34" s="51"/>
      <c r="D34" s="51"/>
      <c r="E34" s="51"/>
      <c r="F34" s="51"/>
      <c r="G34" s="51"/>
      <c r="H34" s="51"/>
      <c r="I34" s="64"/>
      <c r="J34" s="5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196" t="s">
        <v>51</v>
      </c>
      <c r="B35" s="185"/>
      <c r="C35" s="185"/>
      <c r="D35" s="185"/>
      <c r="E35" s="185"/>
      <c r="F35" s="185"/>
      <c r="G35" s="185"/>
      <c r="H35" s="186"/>
      <c r="I35" s="65"/>
      <c r="J35" s="60">
        <v>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192" t="s">
        <v>52</v>
      </c>
      <c r="B36" s="179"/>
      <c r="C36" s="179"/>
      <c r="D36" s="179"/>
      <c r="E36" s="179"/>
      <c r="F36" s="179"/>
      <c r="G36" s="179"/>
      <c r="H36" s="179"/>
      <c r="I36" s="181"/>
      <c r="J36" s="37">
        <v>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192" t="s">
        <v>53</v>
      </c>
      <c r="B37" s="179"/>
      <c r="C37" s="179"/>
      <c r="D37" s="179"/>
      <c r="E37" s="179"/>
      <c r="F37" s="179"/>
      <c r="G37" s="179"/>
      <c r="H37" s="179"/>
      <c r="I37" s="181"/>
      <c r="J37" s="37">
        <v>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192" t="s">
        <v>54</v>
      </c>
      <c r="B38" s="179"/>
      <c r="C38" s="179"/>
      <c r="D38" s="179"/>
      <c r="E38" s="179"/>
      <c r="F38" s="179"/>
      <c r="G38" s="179"/>
      <c r="H38" s="179"/>
      <c r="I38" s="181"/>
      <c r="J38" s="61">
        <v>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192" t="s">
        <v>55</v>
      </c>
      <c r="B39" s="179"/>
      <c r="C39" s="179"/>
      <c r="D39" s="179"/>
      <c r="E39" s="179"/>
      <c r="F39" s="179"/>
      <c r="G39" s="179"/>
      <c r="H39" s="179"/>
      <c r="I39" s="181"/>
      <c r="J39" s="66">
        <v>10000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67"/>
      <c r="B40" s="68"/>
      <c r="C40" s="68"/>
      <c r="D40" s="68"/>
      <c r="E40" s="68"/>
      <c r="F40" s="68"/>
      <c r="G40" s="68"/>
      <c r="H40" s="69"/>
      <c r="I40" s="63" t="s">
        <v>16</v>
      </c>
      <c r="J40" s="70">
        <f>SUM(J35:J39)</f>
        <v>10000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48" t="s">
        <v>56</v>
      </c>
      <c r="B41" s="51"/>
      <c r="C41" s="51"/>
      <c r="D41" s="51"/>
      <c r="E41" s="51"/>
      <c r="F41" s="51"/>
      <c r="G41" s="51"/>
      <c r="H41" s="51"/>
      <c r="I41" s="51"/>
      <c r="J41" s="52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192" t="s">
        <v>57</v>
      </c>
      <c r="B42" s="179"/>
      <c r="C42" s="179"/>
      <c r="D42" s="179"/>
      <c r="E42" s="179"/>
      <c r="F42" s="179"/>
      <c r="G42" s="179"/>
      <c r="H42" s="179"/>
      <c r="I42" s="181"/>
      <c r="J42" s="60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192" t="s">
        <v>58</v>
      </c>
      <c r="B43" s="179"/>
      <c r="C43" s="179"/>
      <c r="D43" s="179"/>
      <c r="E43" s="179"/>
      <c r="F43" s="179"/>
      <c r="G43" s="179"/>
      <c r="H43" s="179"/>
      <c r="I43" s="181"/>
      <c r="J43" s="37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192" t="s">
        <v>59</v>
      </c>
      <c r="B44" s="179"/>
      <c r="C44" s="179"/>
      <c r="D44" s="179"/>
      <c r="E44" s="179"/>
      <c r="F44" s="179"/>
      <c r="G44" s="179"/>
      <c r="H44" s="179"/>
      <c r="I44" s="181"/>
      <c r="J44" s="37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192" t="s">
        <v>60</v>
      </c>
      <c r="B45" s="179"/>
      <c r="C45" s="179"/>
      <c r="D45" s="179"/>
      <c r="E45" s="179"/>
      <c r="F45" s="179"/>
      <c r="G45" s="179"/>
      <c r="H45" s="179"/>
      <c r="I45" s="181"/>
      <c r="J45" s="37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192"/>
      <c r="B46" s="179"/>
      <c r="C46" s="179"/>
      <c r="D46" s="179"/>
      <c r="E46" s="179"/>
      <c r="F46" s="179"/>
      <c r="G46" s="179"/>
      <c r="H46" s="179"/>
      <c r="I46" s="181"/>
      <c r="J46" s="37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8" x14ac:dyDescent="0.25">
      <c r="A47" s="67" t="s">
        <v>78</v>
      </c>
      <c r="B47" s="71"/>
      <c r="C47" s="71"/>
      <c r="D47" s="71"/>
      <c r="E47" s="71"/>
      <c r="F47" s="71"/>
      <c r="G47" s="71"/>
      <c r="H47" s="72"/>
      <c r="I47" s="73" t="s">
        <v>62</v>
      </c>
      <c r="J47" s="7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75" t="s">
        <v>63</v>
      </c>
      <c r="B48" s="76" t="s">
        <v>64</v>
      </c>
      <c r="C48" s="77"/>
      <c r="D48" s="77"/>
      <c r="E48" s="77"/>
      <c r="F48" s="78"/>
      <c r="G48" s="79">
        <v>0</v>
      </c>
      <c r="H48" s="80"/>
      <c r="I48" s="81"/>
      <c r="J48" s="61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82" t="s">
        <v>65</v>
      </c>
      <c r="B49" s="76" t="s">
        <v>64</v>
      </c>
      <c r="C49" s="77"/>
      <c r="D49" s="77"/>
      <c r="E49" s="77"/>
      <c r="F49" s="78"/>
      <c r="G49" s="79">
        <v>0</v>
      </c>
      <c r="H49" s="83"/>
      <c r="I49" s="81"/>
      <c r="J49" s="61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84" t="s">
        <v>66</v>
      </c>
      <c r="B50" s="85" t="s">
        <v>64</v>
      </c>
      <c r="C50" s="86"/>
      <c r="D50" s="86"/>
      <c r="E50" s="86"/>
      <c r="F50" s="87"/>
      <c r="G50" s="88">
        <v>0</v>
      </c>
      <c r="H50" s="89"/>
      <c r="I50" s="90"/>
      <c r="J50" s="37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193"/>
      <c r="B51" s="194"/>
      <c r="C51" s="194"/>
      <c r="D51" s="194"/>
      <c r="E51" s="194"/>
      <c r="F51" s="194"/>
      <c r="G51" s="194"/>
      <c r="H51" s="195"/>
      <c r="I51" s="63" t="s">
        <v>16</v>
      </c>
      <c r="J51" s="91">
        <f>SUM(J42:J50)</f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customHeight="1" x14ac:dyDescent="0.25">
      <c r="A52" s="92" t="str">
        <f>Year1!A52</f>
        <v>H. Total Direct Costs (A-G)</v>
      </c>
      <c r="B52" s="93"/>
      <c r="C52" s="93"/>
      <c r="D52" s="93"/>
      <c r="E52" s="93"/>
      <c r="F52" s="93"/>
      <c r="G52" s="93"/>
      <c r="H52" s="94"/>
      <c r="I52" s="95"/>
      <c r="J52" s="96">
        <f>SUM(J51+J39+J33+J28+J20)</f>
        <v>148811.065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97"/>
      <c r="B53" s="98"/>
      <c r="C53" s="98"/>
      <c r="D53" s="98"/>
      <c r="E53" s="99" t="s">
        <v>68</v>
      </c>
      <c r="F53" s="100"/>
      <c r="G53" s="101" t="s">
        <v>69</v>
      </c>
      <c r="H53" s="102"/>
      <c r="I53" s="103"/>
      <c r="J53" s="104"/>
      <c r="K53" s="5"/>
      <c r="L53" s="10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106" t="str">
        <f>Year1!A54</f>
        <v xml:space="preserve">I. Indirect Costs </v>
      </c>
      <c r="B54" s="106"/>
      <c r="C54" s="134" t="str">
        <f>Year1!C54</f>
        <v>(Salaries, Wages, Fringe Benefits)</v>
      </c>
      <c r="D54" s="106"/>
      <c r="E54" s="108">
        <f>J20</f>
        <v>130436.065</v>
      </c>
      <c r="F54" s="109"/>
      <c r="G54" s="110">
        <v>0.45</v>
      </c>
      <c r="H54" s="102"/>
      <c r="I54" s="103"/>
      <c r="J54" s="111">
        <f>E54*G54</f>
        <v>58696.229250000004</v>
      </c>
      <c r="K54" s="11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113"/>
      <c r="B55" s="114"/>
      <c r="C55" s="114"/>
      <c r="D55" s="114"/>
      <c r="E55" s="115"/>
      <c r="F55" s="116"/>
      <c r="G55" s="117"/>
      <c r="H55" s="102"/>
      <c r="I55" s="103"/>
      <c r="J55" s="100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" customHeight="1" x14ac:dyDescent="0.25">
      <c r="A56" s="118" t="str">
        <f>Year1!A56</f>
        <v>J. Total Amount Requested (H + I)</v>
      </c>
      <c r="B56" s="119"/>
      <c r="C56" s="119"/>
      <c r="D56" s="119"/>
      <c r="E56" s="119"/>
      <c r="F56" s="119"/>
      <c r="G56" s="119"/>
      <c r="H56" s="120"/>
      <c r="I56" s="121" t="s">
        <v>79</v>
      </c>
      <c r="J56" s="122">
        <f>SUM(J52:J54)</f>
        <v>207507.29425000001</v>
      </c>
      <c r="K56" s="12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7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125" t="s">
        <v>74</v>
      </c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13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8">
    <mergeCell ref="A51:H51"/>
    <mergeCell ref="A36:I36"/>
    <mergeCell ref="A37:I37"/>
    <mergeCell ref="A38:I38"/>
    <mergeCell ref="A39:I39"/>
    <mergeCell ref="A42:I42"/>
    <mergeCell ref="A43:I43"/>
    <mergeCell ref="A44:I44"/>
    <mergeCell ref="A31:I31"/>
    <mergeCell ref="A32:I32"/>
    <mergeCell ref="A35:H35"/>
    <mergeCell ref="A45:I45"/>
    <mergeCell ref="A46:I46"/>
    <mergeCell ref="A24:I24"/>
    <mergeCell ref="A25:I25"/>
    <mergeCell ref="A26:I26"/>
    <mergeCell ref="A27:I27"/>
    <mergeCell ref="A30:I30"/>
    <mergeCell ref="A17:B17"/>
    <mergeCell ref="A18:F18"/>
    <mergeCell ref="A20:F20"/>
    <mergeCell ref="H20:H21"/>
    <mergeCell ref="A21:F21"/>
    <mergeCell ref="A12:B12"/>
    <mergeCell ref="A13:B13"/>
    <mergeCell ref="A14:B14"/>
    <mergeCell ref="A15:B15"/>
    <mergeCell ref="A16:B16"/>
    <mergeCell ref="A6:B6"/>
    <mergeCell ref="A8:F8"/>
    <mergeCell ref="A7:B7"/>
    <mergeCell ref="A10:B10"/>
    <mergeCell ref="A11:B11"/>
    <mergeCell ref="A1:B1"/>
    <mergeCell ref="C1:E1"/>
    <mergeCell ref="B2:I2"/>
    <mergeCell ref="A4:B4"/>
    <mergeCell ref="A5:B5"/>
  </mergeCells>
  <conditionalFormatting sqref="D10:G12">
    <cfRule type="cellIs" dxfId="24" priority="1" operator="equal">
      <formula>0</formula>
    </cfRule>
  </conditionalFormatting>
  <conditionalFormatting sqref="D5:H6 J5:J6 D7:J7">
    <cfRule type="cellIs" dxfId="23" priority="2" operator="equal">
      <formula>0</formula>
    </cfRule>
  </conditionalFormatting>
  <conditionalFormatting sqref="F14:J14 F16:J17">
    <cfRule type="cellIs" dxfId="22" priority="3" operator="equal">
      <formula>0</formula>
    </cfRule>
  </conditionalFormatting>
  <conditionalFormatting sqref="I4:I6">
    <cfRule type="cellIs" dxfId="21" priority="7" operator="equal">
      <formula>0</formula>
    </cfRule>
  </conditionalFormatting>
  <conditionalFormatting sqref="I10:J12">
    <cfRule type="cellIs" dxfId="20" priority="4" operator="equal">
      <formula>0</formula>
    </cfRule>
  </conditionalFormatting>
  <conditionalFormatting sqref="J30:J31">
    <cfRule type="cellIs" dxfId="19" priority="5" operator="equal">
      <formula>0</formula>
    </cfRule>
  </conditionalFormatting>
  <conditionalFormatting sqref="J39">
    <cfRule type="cellIs" dxfId="18" priority="6" operator="equal">
      <formula>0</formula>
    </cfRule>
  </conditionalFormatting>
  <printOptions horizontalCentered="1" gridLines="1"/>
  <pageMargins left="0.25" right="0.25" top="0.75" bottom="0.75" header="0" footer="0"/>
  <pageSetup orientation="landscape"/>
  <headerFooter>
    <oddHeader>&amp;LYear 2&amp;CSummary Proposal Budget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N38" sqref="N38"/>
    </sheetView>
  </sheetViews>
  <sheetFormatPr defaultColWidth="12.6640625" defaultRowHeight="15" customHeight="1" x14ac:dyDescent="0.25"/>
  <cols>
    <col min="1" max="1" width="9.77734375" customWidth="1"/>
    <col min="2" max="2" width="30.109375" customWidth="1"/>
    <col min="3" max="3" width="13" customWidth="1"/>
    <col min="4" max="4" width="10" customWidth="1"/>
    <col min="5" max="5" width="9.21875" customWidth="1"/>
    <col min="6" max="6" width="12" customWidth="1"/>
    <col min="7" max="7" width="17.21875" customWidth="1"/>
    <col min="8" max="8" width="11.6640625" customWidth="1"/>
    <col min="9" max="9" width="15.109375" customWidth="1"/>
    <col min="10" max="10" width="11.88671875" customWidth="1"/>
    <col min="11" max="26" width="14.44140625" customWidth="1"/>
  </cols>
  <sheetData>
    <row r="1" spans="1:26" ht="24.75" customHeight="1" x14ac:dyDescent="0.25">
      <c r="A1" s="197" t="s">
        <v>0</v>
      </c>
      <c r="B1" s="198"/>
      <c r="C1" s="199" t="str">
        <f>Year1!C1</f>
        <v>Sylvia Bradshaw</v>
      </c>
      <c r="D1" s="200"/>
      <c r="E1" s="198"/>
      <c r="F1" s="126" t="s">
        <v>2</v>
      </c>
      <c r="G1" s="127">
        <f>DATE(YEAR('All Years'!C21)+'All Years'!C18,MONTH('All Years'!C21),DAY('All Years'!C21))</f>
        <v>46204</v>
      </c>
      <c r="H1" s="128" t="s">
        <v>3</v>
      </c>
      <c r="I1" s="127">
        <f>DATE(YEAR('All Years'!C22)+'All Years'!C18,MONTH('All Years'!C22),DAY('All Years'!C22))</f>
        <v>46568</v>
      </c>
      <c r="J1" s="129" t="s">
        <v>80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4.75" customHeight="1" x14ac:dyDescent="0.25">
      <c r="A2" s="6" t="s">
        <v>5</v>
      </c>
      <c r="B2" s="180" t="str">
        <f>Year1!B2</f>
        <v>NSF GRANTED - University of Idaho</v>
      </c>
      <c r="C2" s="179"/>
      <c r="D2" s="179"/>
      <c r="E2" s="179"/>
      <c r="F2" s="179"/>
      <c r="G2" s="179"/>
      <c r="H2" s="179"/>
      <c r="I2" s="177"/>
      <c r="J2" s="13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7" t="s">
        <v>8</v>
      </c>
      <c r="B3" s="7"/>
      <c r="C3" s="8" t="s">
        <v>9</v>
      </c>
      <c r="D3" s="8" t="s">
        <v>10</v>
      </c>
      <c r="E3" s="8" t="s">
        <v>11</v>
      </c>
      <c r="F3" s="8" t="s">
        <v>12</v>
      </c>
      <c r="G3" s="9" t="s">
        <v>13</v>
      </c>
      <c r="H3" s="8" t="s">
        <v>14</v>
      </c>
      <c r="I3" s="8" t="s">
        <v>15</v>
      </c>
      <c r="J3" s="8" t="s">
        <v>16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183" t="str">
        <f>Year1!A4</f>
        <v>Sylvia Bradshaw</v>
      </c>
      <c r="B4" s="181"/>
      <c r="C4" s="10" t="str">
        <f>Year1!C4</f>
        <v>PI</v>
      </c>
      <c r="D4" s="11">
        <f t="shared" ref="D4:D7" si="0">12*E4</f>
        <v>1.5</v>
      </c>
      <c r="E4" s="15">
        <v>0.125</v>
      </c>
      <c r="F4" s="14">
        <f>Year2!F4*(1+'All Years'!D20)</f>
        <v>122003.5</v>
      </c>
      <c r="G4" s="14">
        <f t="shared" ref="G4:G6" si="1">SUM(F4/12)*D4</f>
        <v>15250.4375</v>
      </c>
      <c r="H4" s="15">
        <v>0.23499999999999999</v>
      </c>
      <c r="I4" s="14">
        <f t="shared" ref="I4:I6" si="2">(G4*H4)+(21138*E4)</f>
        <v>6226.1028124999993</v>
      </c>
      <c r="J4" s="14">
        <f t="shared" ref="J4:J7" si="3">G4+I4</f>
        <v>21476.540312500001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183" t="str">
        <f>Year1!A5</f>
        <v>Katie Gomez</v>
      </c>
      <c r="B5" s="181"/>
      <c r="C5" s="10">
        <f>Year1!C5</f>
        <v>0</v>
      </c>
      <c r="D5" s="11">
        <f t="shared" si="0"/>
        <v>1.7999999999999998</v>
      </c>
      <c r="E5" s="15">
        <f>Year1!E5</f>
        <v>0.15</v>
      </c>
      <c r="F5" s="14">
        <f>Year2!F5*(1+'All Years'!D20)</f>
        <v>81689.3</v>
      </c>
      <c r="G5" s="14">
        <f t="shared" si="1"/>
        <v>12253.394999999999</v>
      </c>
      <c r="H5" s="15">
        <v>0.23499999999999999</v>
      </c>
      <c r="I5" s="14">
        <f t="shared" si="2"/>
        <v>6050.2478249999995</v>
      </c>
      <c r="J5" s="14">
        <f t="shared" si="3"/>
        <v>18303.642824999999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25">
      <c r="A6" s="183" t="str">
        <f>Year1!A6</f>
        <v>TBD - Data Analyst</v>
      </c>
      <c r="B6" s="181"/>
      <c r="C6" s="10">
        <f>Year1!C6</f>
        <v>0</v>
      </c>
      <c r="D6" s="11">
        <f t="shared" si="0"/>
        <v>12</v>
      </c>
      <c r="E6" s="15">
        <f>Year1!E6</f>
        <v>1</v>
      </c>
      <c r="F6" s="14">
        <f>Year2!F6*(1+'All Years'!D20)</f>
        <v>63654</v>
      </c>
      <c r="G6" s="14">
        <f t="shared" si="1"/>
        <v>63654</v>
      </c>
      <c r="H6" s="15">
        <v>0.23499999999999999</v>
      </c>
      <c r="I6" s="14">
        <f t="shared" si="2"/>
        <v>36096.69</v>
      </c>
      <c r="J6" s="14">
        <f t="shared" si="3"/>
        <v>99750.69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5">
      <c r="A7" s="183" t="str">
        <f>Year1!A7</f>
        <v>Name here (e.g., co-PI, Sr. Personnel)</v>
      </c>
      <c r="B7" s="181"/>
      <c r="C7" s="10">
        <f>Year1!C7</f>
        <v>0</v>
      </c>
      <c r="D7" s="11">
        <f t="shared" si="0"/>
        <v>0</v>
      </c>
      <c r="E7" s="15">
        <f>Year1!E7</f>
        <v>0</v>
      </c>
      <c r="F7" s="14">
        <f>Year2!F7*(1+'All Years'!D20)</f>
        <v>0</v>
      </c>
      <c r="G7" s="14">
        <f>SUM(F7/9)*D7</f>
        <v>0</v>
      </c>
      <c r="H7" s="15">
        <v>0.23499999999999999</v>
      </c>
      <c r="I7" s="14">
        <f>G7*H7</f>
        <v>0</v>
      </c>
      <c r="J7" s="14">
        <f t="shared" si="3"/>
        <v>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184" t="s">
        <v>21</v>
      </c>
      <c r="B8" s="185"/>
      <c r="C8" s="185"/>
      <c r="D8" s="185"/>
      <c r="E8" s="185"/>
      <c r="F8" s="186"/>
      <c r="G8" s="18">
        <f>SUM(G4:G7)</f>
        <v>91157.83249999999</v>
      </c>
      <c r="H8" s="19"/>
      <c r="I8" s="20"/>
      <c r="J8" s="20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21" t="s">
        <v>22</v>
      </c>
      <c r="B9" s="21"/>
      <c r="C9" s="22" t="s">
        <v>9</v>
      </c>
      <c r="D9" s="22" t="s">
        <v>10</v>
      </c>
      <c r="E9" s="22" t="s">
        <v>11</v>
      </c>
      <c r="F9" s="22" t="s">
        <v>12</v>
      </c>
      <c r="G9" s="23" t="s">
        <v>13</v>
      </c>
      <c r="H9" s="22" t="s">
        <v>14</v>
      </c>
      <c r="I9" s="22" t="s">
        <v>15</v>
      </c>
      <c r="J9" s="24" t="s">
        <v>16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183" t="str">
        <f>Year1!A10</f>
        <v>Postdoctoral Scholars (*faculty benefit rate)</v>
      </c>
      <c r="B10" s="181"/>
      <c r="C10" s="10">
        <f>Year1!C10</f>
        <v>0</v>
      </c>
      <c r="D10" s="25">
        <f t="shared" ref="D10:D12" si="4">12*E10</f>
        <v>0</v>
      </c>
      <c r="E10" s="15">
        <f>Year1!E10</f>
        <v>0</v>
      </c>
      <c r="F10" s="14">
        <f>Year2!F10*(1+'All Years'!D20)</f>
        <v>0</v>
      </c>
      <c r="G10" s="14">
        <f>SUM(F10/9)*D10</f>
        <v>0</v>
      </c>
      <c r="H10" s="15">
        <v>0.23499999999999999</v>
      </c>
      <c r="I10" s="14">
        <f>G10*H10</f>
        <v>0</v>
      </c>
      <c r="J10" s="14">
        <f t="shared" ref="J10:J12" si="5">G10+I10</f>
        <v>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5">
      <c r="A11" s="183" t="str">
        <f>Year1!A11</f>
        <v>Other Professionals (**staff benefit rate)</v>
      </c>
      <c r="B11" s="181"/>
      <c r="C11" s="10">
        <f>Year1!C11</f>
        <v>0</v>
      </c>
      <c r="D11" s="25">
        <f t="shared" si="4"/>
        <v>0</v>
      </c>
      <c r="E11" s="15">
        <f>Year1!E11</f>
        <v>0</v>
      </c>
      <c r="F11" s="14">
        <f>Year2!F11*(1+'All Years'!D20)</f>
        <v>0</v>
      </c>
      <c r="G11" s="14">
        <f t="shared" ref="G11:G12" si="6">F11*E11</f>
        <v>0</v>
      </c>
      <c r="H11" s="15">
        <v>0.23499999999999999</v>
      </c>
      <c r="I11" s="14">
        <f t="shared" ref="I11:I12" si="7">(G11*H11)+(21138*E11)</f>
        <v>0</v>
      </c>
      <c r="J11" s="14">
        <f t="shared" si="5"/>
        <v>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25">
      <c r="A12" s="183" t="str">
        <f>Year1!A12</f>
        <v>Other Professionals (**staff benefit rate)</v>
      </c>
      <c r="B12" s="181"/>
      <c r="C12" s="10">
        <f>Year1!C12</f>
        <v>0</v>
      </c>
      <c r="D12" s="25">
        <f t="shared" si="4"/>
        <v>0</v>
      </c>
      <c r="E12" s="15">
        <f>Year1!E12</f>
        <v>0</v>
      </c>
      <c r="F12" s="14">
        <f>Year2!F12*(1+'All Years'!D20)</f>
        <v>0</v>
      </c>
      <c r="G12" s="14">
        <f t="shared" si="6"/>
        <v>0</v>
      </c>
      <c r="H12" s="19">
        <v>0.23499999999999999</v>
      </c>
      <c r="I12" s="14">
        <f t="shared" si="7"/>
        <v>0</v>
      </c>
      <c r="J12" s="14">
        <f t="shared" si="5"/>
        <v>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25">
      <c r="A13" s="187"/>
      <c r="B13" s="181"/>
      <c r="C13" s="26" t="s">
        <v>25</v>
      </c>
      <c r="D13" s="27" t="s">
        <v>26</v>
      </c>
      <c r="E13" s="28" t="s">
        <v>27</v>
      </c>
      <c r="F13" s="29" t="s">
        <v>28</v>
      </c>
      <c r="G13" s="131" t="s">
        <v>29</v>
      </c>
      <c r="H13" s="8" t="s">
        <v>14</v>
      </c>
      <c r="I13" s="8" t="s">
        <v>15</v>
      </c>
      <c r="J13" s="8" t="s">
        <v>16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25">
      <c r="A14" s="183" t="str">
        <f>Year1!A14</f>
        <v>Graduate Students (*student benefit rate)</v>
      </c>
      <c r="B14" s="181"/>
      <c r="C14" s="136">
        <f>Year1!C14</f>
        <v>0</v>
      </c>
      <c r="D14" s="132">
        <f>Year1!D14</f>
        <v>0</v>
      </c>
      <c r="E14" s="132">
        <f>Year1!E14</f>
        <v>0</v>
      </c>
      <c r="F14" s="133">
        <f>Year2!F14*(1+'All Years'!D20)</f>
        <v>0</v>
      </c>
      <c r="G14" s="14">
        <f>F14*E14*D14*C14</f>
        <v>0</v>
      </c>
      <c r="H14" s="15">
        <v>7.0000000000000007E-2</v>
      </c>
      <c r="I14" s="14">
        <f t="shared" ref="I14:I17" si="8">G14*H14</f>
        <v>0</v>
      </c>
      <c r="J14" s="14">
        <f t="shared" ref="J14:J17" si="9">G14+I14</f>
        <v>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5">
      <c r="A15" s="183" t="str">
        <f>Year1!A15</f>
        <v>Undergraduate Students (*student benefit rate)</v>
      </c>
      <c r="B15" s="181"/>
      <c r="C15" s="136" t="str">
        <f>Year1!C15</f>
        <v>1</v>
      </c>
      <c r="D15" s="132">
        <f>Year1!D15</f>
        <v>42</v>
      </c>
      <c r="E15" s="132">
        <f>Year1!E15</f>
        <v>10</v>
      </c>
      <c r="F15" s="133">
        <v>16</v>
      </c>
      <c r="G15" s="14">
        <f>C15*D15*E15*F15</f>
        <v>6720</v>
      </c>
      <c r="H15" s="15">
        <v>7.0000000000000007E-2</v>
      </c>
      <c r="I15" s="14">
        <f t="shared" si="8"/>
        <v>470.40000000000003</v>
      </c>
      <c r="J15" s="14">
        <f t="shared" si="9"/>
        <v>7190.4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25">
      <c r="A16" s="183" t="str">
        <f>Year1!A16</f>
        <v>Administrative/Clerical (**non-Student benefit rate)</v>
      </c>
      <c r="B16" s="181"/>
      <c r="C16" s="136">
        <f>Year1!C16</f>
        <v>0</v>
      </c>
      <c r="D16" s="132">
        <f>Year1!D16</f>
        <v>0</v>
      </c>
      <c r="E16" s="132">
        <f>Year1!E16</f>
        <v>0</v>
      </c>
      <c r="F16" s="133">
        <f>Year2!F16*(1+'All Years'!D20)</f>
        <v>0</v>
      </c>
      <c r="G16" s="14">
        <f t="shared" ref="G16:G17" si="10">F16*E16*D16*C16</f>
        <v>0</v>
      </c>
      <c r="H16" s="15">
        <v>9.5000000000000001E-2</v>
      </c>
      <c r="I16" s="14">
        <f t="shared" si="8"/>
        <v>0</v>
      </c>
      <c r="J16" s="14">
        <f t="shared" si="9"/>
        <v>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5">
      <c r="A17" s="183" t="str">
        <f>Year1!A17</f>
        <v>Other (**non-student benefit rate)</v>
      </c>
      <c r="B17" s="181"/>
      <c r="C17" s="136">
        <f>Year1!C17</f>
        <v>0</v>
      </c>
      <c r="D17" s="132">
        <f>Year1!D17</f>
        <v>0</v>
      </c>
      <c r="E17" s="132">
        <f>Year1!E17</f>
        <v>0</v>
      </c>
      <c r="F17" s="133">
        <f>Year2!F17*(1+'All Years'!D20)</f>
        <v>0</v>
      </c>
      <c r="G17" s="14">
        <f t="shared" si="10"/>
        <v>0</v>
      </c>
      <c r="H17" s="15">
        <v>9.5000000000000001E-2</v>
      </c>
      <c r="I17" s="14">
        <f t="shared" si="8"/>
        <v>0</v>
      </c>
      <c r="J17" s="14">
        <f t="shared" si="9"/>
        <v>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5">
      <c r="A18" s="184" t="s">
        <v>35</v>
      </c>
      <c r="B18" s="185"/>
      <c r="C18" s="185"/>
      <c r="D18" s="185"/>
      <c r="E18" s="185"/>
      <c r="F18" s="186"/>
      <c r="G18" s="18">
        <f>SUM(G10:G17)</f>
        <v>6720</v>
      </c>
      <c r="H18" s="19"/>
      <c r="I18" s="20"/>
      <c r="J18" s="20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5">
      <c r="A19" s="33" t="s">
        <v>36</v>
      </c>
      <c r="B19" s="34"/>
      <c r="C19" s="34"/>
      <c r="D19" s="34"/>
      <c r="E19" s="34"/>
      <c r="F19" s="34"/>
      <c r="G19" s="35"/>
      <c r="H19" s="35"/>
      <c r="I19" s="36"/>
      <c r="J19" s="37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188"/>
      <c r="B20" s="179"/>
      <c r="C20" s="179"/>
      <c r="D20" s="179"/>
      <c r="E20" s="179"/>
      <c r="F20" s="181"/>
      <c r="G20" s="38">
        <f>G8+G18</f>
        <v>97877.83249999999</v>
      </c>
      <c r="H20" s="189" t="s">
        <v>37</v>
      </c>
      <c r="I20" s="39">
        <f t="shared" ref="I20:J20" si="11">SUM(I4:I19)</f>
        <v>48843.440637500004</v>
      </c>
      <c r="J20" s="40">
        <f t="shared" si="11"/>
        <v>146721.27313750001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5">
      <c r="A21" s="191" t="s">
        <v>38</v>
      </c>
      <c r="B21" s="179"/>
      <c r="C21" s="179"/>
      <c r="D21" s="179"/>
      <c r="E21" s="179"/>
      <c r="F21" s="181"/>
      <c r="G21" s="9" t="s">
        <v>39</v>
      </c>
      <c r="H21" s="190"/>
      <c r="I21" s="41" t="s">
        <v>40</v>
      </c>
      <c r="J21" s="42" t="s">
        <v>41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.5" customHeight="1" x14ac:dyDescent="0.25">
      <c r="A22" s="43" t="s">
        <v>42</v>
      </c>
      <c r="B22" s="44"/>
      <c r="C22" s="45" t="s">
        <v>43</v>
      </c>
      <c r="D22" s="44"/>
      <c r="E22" s="44"/>
      <c r="F22" s="44"/>
      <c r="G22" s="46"/>
      <c r="H22" s="46"/>
      <c r="I22" s="44"/>
      <c r="J22" s="47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A23" s="48" t="s">
        <v>81</v>
      </c>
      <c r="B23" s="49"/>
      <c r="C23" s="50" t="s">
        <v>45</v>
      </c>
      <c r="D23" s="51"/>
      <c r="E23" s="51"/>
      <c r="F23" s="51"/>
      <c r="G23" s="51"/>
      <c r="H23" s="51"/>
      <c r="I23" s="51"/>
      <c r="J23" s="52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192" t="s">
        <v>46</v>
      </c>
      <c r="B24" s="179"/>
      <c r="C24" s="179"/>
      <c r="D24" s="179"/>
      <c r="E24" s="179"/>
      <c r="F24" s="179"/>
      <c r="G24" s="179"/>
      <c r="H24" s="179"/>
      <c r="I24" s="181"/>
      <c r="J24" s="53">
        <v>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192"/>
      <c r="B25" s="179"/>
      <c r="C25" s="179"/>
      <c r="D25" s="179"/>
      <c r="E25" s="179"/>
      <c r="F25" s="179"/>
      <c r="G25" s="179"/>
      <c r="H25" s="179"/>
      <c r="I25" s="181"/>
      <c r="J25" s="54">
        <v>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192"/>
      <c r="B26" s="179"/>
      <c r="C26" s="179"/>
      <c r="D26" s="179"/>
      <c r="E26" s="179"/>
      <c r="F26" s="179"/>
      <c r="G26" s="179"/>
      <c r="H26" s="179"/>
      <c r="I26" s="181"/>
      <c r="J26" s="55"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192"/>
      <c r="B27" s="179"/>
      <c r="C27" s="179"/>
      <c r="D27" s="179"/>
      <c r="E27" s="179"/>
      <c r="F27" s="179"/>
      <c r="G27" s="179"/>
      <c r="H27" s="179"/>
      <c r="I27" s="181"/>
      <c r="J27" s="55">
        <v>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56"/>
      <c r="B28" s="57"/>
      <c r="C28" s="57"/>
      <c r="D28" s="57"/>
      <c r="E28" s="57"/>
      <c r="F28" s="57"/>
      <c r="G28" s="57"/>
      <c r="H28" s="57"/>
      <c r="I28" s="58" t="s">
        <v>16</v>
      </c>
      <c r="J28" s="59">
        <f>SUM(J24:J27)</f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48" t="s">
        <v>47</v>
      </c>
      <c r="B29" s="51"/>
      <c r="C29" s="51"/>
      <c r="D29" s="51"/>
      <c r="E29" s="51"/>
      <c r="F29" s="51"/>
      <c r="G29" s="51"/>
      <c r="H29" s="51"/>
      <c r="I29" s="51"/>
      <c r="J29" s="52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192" t="s">
        <v>48</v>
      </c>
      <c r="B30" s="179"/>
      <c r="C30" s="179"/>
      <c r="D30" s="179"/>
      <c r="E30" s="179"/>
      <c r="F30" s="179"/>
      <c r="G30" s="179"/>
      <c r="H30" s="179"/>
      <c r="I30" s="181"/>
      <c r="J30" s="60">
        <v>3375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137" t="s">
        <v>82</v>
      </c>
      <c r="B31" s="138"/>
      <c r="C31" s="138"/>
      <c r="D31" s="138"/>
      <c r="E31" s="138"/>
      <c r="F31" s="138"/>
      <c r="G31" s="138"/>
      <c r="H31" s="138"/>
      <c r="I31" s="139"/>
      <c r="J31" s="61">
        <v>2500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137" t="s">
        <v>83</v>
      </c>
      <c r="B32" s="138"/>
      <c r="C32" s="138"/>
      <c r="D32" s="138"/>
      <c r="E32" s="138"/>
      <c r="F32" s="138"/>
      <c r="G32" s="138"/>
      <c r="H32" s="138"/>
      <c r="I32" s="139"/>
      <c r="J32" s="61">
        <f>3045*3</f>
        <v>9135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56"/>
      <c r="B33" s="57"/>
      <c r="C33" s="57"/>
      <c r="D33" s="57"/>
      <c r="E33" s="57"/>
      <c r="F33" s="57"/>
      <c r="G33" s="57"/>
      <c r="H33" s="62"/>
      <c r="I33" s="63" t="s">
        <v>16</v>
      </c>
      <c r="J33" s="59">
        <f>SUM(J30:J32)</f>
        <v>15010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48" t="s">
        <v>77</v>
      </c>
      <c r="B34" s="51"/>
      <c r="C34" s="51"/>
      <c r="D34" s="51"/>
      <c r="E34" s="51"/>
      <c r="F34" s="51"/>
      <c r="G34" s="51"/>
      <c r="H34" s="51"/>
      <c r="I34" s="64"/>
      <c r="J34" s="5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196" t="s">
        <v>51</v>
      </c>
      <c r="B35" s="185"/>
      <c r="C35" s="185"/>
      <c r="D35" s="185"/>
      <c r="E35" s="185"/>
      <c r="F35" s="185"/>
      <c r="G35" s="185"/>
      <c r="H35" s="186"/>
      <c r="I35" s="65"/>
      <c r="J35" s="60">
        <v>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192" t="s">
        <v>52</v>
      </c>
      <c r="B36" s="179"/>
      <c r="C36" s="179"/>
      <c r="D36" s="179"/>
      <c r="E36" s="179"/>
      <c r="F36" s="179"/>
      <c r="G36" s="179"/>
      <c r="H36" s="179"/>
      <c r="I36" s="181"/>
      <c r="J36" s="37">
        <v>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192" t="s">
        <v>53</v>
      </c>
      <c r="B37" s="179"/>
      <c r="C37" s="179"/>
      <c r="D37" s="179"/>
      <c r="E37" s="179"/>
      <c r="F37" s="179"/>
      <c r="G37" s="179"/>
      <c r="H37" s="179"/>
      <c r="I37" s="181"/>
      <c r="J37" s="37">
        <v>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192" t="s">
        <v>54</v>
      </c>
      <c r="B38" s="179"/>
      <c r="C38" s="179"/>
      <c r="D38" s="179"/>
      <c r="E38" s="179"/>
      <c r="F38" s="179"/>
      <c r="G38" s="179"/>
      <c r="H38" s="179"/>
      <c r="I38" s="181"/>
      <c r="J38" s="61">
        <v>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192" t="s">
        <v>55</v>
      </c>
      <c r="B39" s="179"/>
      <c r="C39" s="179"/>
      <c r="D39" s="179"/>
      <c r="E39" s="179"/>
      <c r="F39" s="179"/>
      <c r="G39" s="179"/>
      <c r="H39" s="179"/>
      <c r="I39" s="181"/>
      <c r="J39" s="66">
        <v>10000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67"/>
      <c r="B40" s="68"/>
      <c r="C40" s="68"/>
      <c r="D40" s="68"/>
      <c r="E40" s="68"/>
      <c r="F40" s="68"/>
      <c r="G40" s="68"/>
      <c r="H40" s="69"/>
      <c r="I40" s="63" t="s">
        <v>16</v>
      </c>
      <c r="J40" s="70">
        <f>SUM(J35:J39)</f>
        <v>10000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48" t="s">
        <v>56</v>
      </c>
      <c r="B41" s="51"/>
      <c r="C41" s="51"/>
      <c r="D41" s="51"/>
      <c r="E41" s="51"/>
      <c r="F41" s="51"/>
      <c r="G41" s="51"/>
      <c r="H41" s="51"/>
      <c r="I41" s="51"/>
      <c r="J41" s="52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192" t="s">
        <v>57</v>
      </c>
      <c r="B42" s="179"/>
      <c r="C42" s="179"/>
      <c r="D42" s="179"/>
      <c r="E42" s="179"/>
      <c r="F42" s="179"/>
      <c r="G42" s="179"/>
      <c r="H42" s="179"/>
      <c r="I42" s="181"/>
      <c r="J42" s="60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192" t="s">
        <v>58</v>
      </c>
      <c r="B43" s="179"/>
      <c r="C43" s="179"/>
      <c r="D43" s="179"/>
      <c r="E43" s="179"/>
      <c r="F43" s="179"/>
      <c r="G43" s="179"/>
      <c r="H43" s="179"/>
      <c r="I43" s="181"/>
      <c r="J43" s="37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192" t="s">
        <v>59</v>
      </c>
      <c r="B44" s="179"/>
      <c r="C44" s="179"/>
      <c r="D44" s="179"/>
      <c r="E44" s="179"/>
      <c r="F44" s="179"/>
      <c r="G44" s="179"/>
      <c r="H44" s="179"/>
      <c r="I44" s="181"/>
      <c r="J44" s="37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192" t="s">
        <v>60</v>
      </c>
      <c r="B45" s="179"/>
      <c r="C45" s="179"/>
      <c r="D45" s="179"/>
      <c r="E45" s="179"/>
      <c r="F45" s="179"/>
      <c r="G45" s="179"/>
      <c r="H45" s="179"/>
      <c r="I45" s="181"/>
      <c r="J45" s="37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192"/>
      <c r="B46" s="179"/>
      <c r="C46" s="179"/>
      <c r="D46" s="179"/>
      <c r="E46" s="179"/>
      <c r="F46" s="179"/>
      <c r="G46" s="179"/>
      <c r="H46" s="179"/>
      <c r="I46" s="181"/>
      <c r="J46" s="37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8" x14ac:dyDescent="0.25">
      <c r="A47" s="67" t="s">
        <v>84</v>
      </c>
      <c r="B47" s="71"/>
      <c r="C47" s="71"/>
      <c r="D47" s="71"/>
      <c r="E47" s="71"/>
      <c r="F47" s="71"/>
      <c r="G47" s="71"/>
      <c r="H47" s="72"/>
      <c r="I47" s="73" t="s">
        <v>62</v>
      </c>
      <c r="J47" s="74">
        <f>SUM(G48:G50)</f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75" t="s">
        <v>63</v>
      </c>
      <c r="B48" s="76" t="s">
        <v>64</v>
      </c>
      <c r="C48" s="77"/>
      <c r="D48" s="77"/>
      <c r="E48" s="77"/>
      <c r="F48" s="78"/>
      <c r="G48" s="79">
        <v>0</v>
      </c>
      <c r="H48" s="80"/>
      <c r="I48" s="81"/>
      <c r="J48" s="61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82" t="s">
        <v>65</v>
      </c>
      <c r="B49" s="76" t="s">
        <v>64</v>
      </c>
      <c r="C49" s="77"/>
      <c r="D49" s="77"/>
      <c r="E49" s="77"/>
      <c r="F49" s="78"/>
      <c r="G49" s="79">
        <v>0</v>
      </c>
      <c r="H49" s="83"/>
      <c r="I49" s="81"/>
      <c r="J49" s="61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84" t="s">
        <v>66</v>
      </c>
      <c r="B50" s="85" t="s">
        <v>64</v>
      </c>
      <c r="C50" s="86"/>
      <c r="D50" s="86"/>
      <c r="E50" s="86"/>
      <c r="F50" s="87"/>
      <c r="G50" s="88">
        <v>0</v>
      </c>
      <c r="H50" s="89"/>
      <c r="I50" s="90"/>
      <c r="J50" s="37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193"/>
      <c r="B51" s="194"/>
      <c r="C51" s="194"/>
      <c r="D51" s="194"/>
      <c r="E51" s="194"/>
      <c r="F51" s="194"/>
      <c r="G51" s="194"/>
      <c r="H51" s="195"/>
      <c r="I51" s="63" t="s">
        <v>16</v>
      </c>
      <c r="J51" s="91">
        <f>SUM(J42:J50)</f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customHeight="1" x14ac:dyDescent="0.25">
      <c r="A52" s="92" t="str">
        <f>Year1!A52</f>
        <v>H. Total Direct Costs (A-G)</v>
      </c>
      <c r="B52" s="93"/>
      <c r="C52" s="93"/>
      <c r="D52" s="93"/>
      <c r="E52" s="93"/>
      <c r="F52" s="93"/>
      <c r="G52" s="93"/>
      <c r="H52" s="94"/>
      <c r="I52" s="95"/>
      <c r="J52" s="96">
        <f>SUM(J51+J39+J33+J28+J20)</f>
        <v>171731.27313750001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97"/>
      <c r="B53" s="98"/>
      <c r="C53" s="98"/>
      <c r="D53" s="98"/>
      <c r="E53" s="99" t="s">
        <v>68</v>
      </c>
      <c r="F53" s="100"/>
      <c r="G53" s="101" t="s">
        <v>69</v>
      </c>
      <c r="H53" s="102"/>
      <c r="I53" s="103"/>
      <c r="J53" s="104"/>
      <c r="K53" s="5"/>
      <c r="L53" s="10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106" t="str">
        <f>Year1!A54</f>
        <v xml:space="preserve">I. Indirect Costs </v>
      </c>
      <c r="B54" s="106"/>
      <c r="C54" s="134" t="str">
        <f>Year1!C54</f>
        <v>(Salaries, Wages, Fringe Benefits)</v>
      </c>
      <c r="D54" s="106"/>
      <c r="E54" s="108">
        <f>J20</f>
        <v>146721.27313750001</v>
      </c>
      <c r="F54" s="109"/>
      <c r="G54" s="110">
        <v>0.45</v>
      </c>
      <c r="H54" s="102"/>
      <c r="I54" s="103"/>
      <c r="J54" s="111">
        <f>E54*G54</f>
        <v>66024.572911875002</v>
      </c>
      <c r="K54" s="11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113"/>
      <c r="B55" s="114"/>
      <c r="C55" s="114"/>
      <c r="D55" s="114"/>
      <c r="E55" s="115"/>
      <c r="F55" s="116"/>
      <c r="G55" s="117"/>
      <c r="H55" s="102"/>
      <c r="I55" s="103"/>
      <c r="J55" s="100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" customHeight="1" x14ac:dyDescent="0.25">
      <c r="A56" s="118" t="str">
        <f>Year1!A56</f>
        <v>J. Total Amount Requested (H + I)</v>
      </c>
      <c r="B56" s="119"/>
      <c r="C56" s="119"/>
      <c r="D56" s="119"/>
      <c r="E56" s="119"/>
      <c r="F56" s="119"/>
      <c r="G56" s="119"/>
      <c r="H56" s="120"/>
      <c r="I56" s="121" t="s">
        <v>85</v>
      </c>
      <c r="J56" s="122">
        <f>SUM(J52:J54)</f>
        <v>237755.84604937502</v>
      </c>
      <c r="K56" s="12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7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125" t="s">
        <v>74</v>
      </c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13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6">
    <mergeCell ref="A44:I44"/>
    <mergeCell ref="A45:I45"/>
    <mergeCell ref="A46:I46"/>
    <mergeCell ref="A51:H51"/>
    <mergeCell ref="A25:I25"/>
    <mergeCell ref="A26:I26"/>
    <mergeCell ref="A27:I27"/>
    <mergeCell ref="A30:I30"/>
    <mergeCell ref="A35:H35"/>
    <mergeCell ref="A36:I36"/>
    <mergeCell ref="A37:I37"/>
    <mergeCell ref="A24:I24"/>
    <mergeCell ref="A38:I38"/>
    <mergeCell ref="A39:I39"/>
    <mergeCell ref="A42:I42"/>
    <mergeCell ref="A43:I43"/>
    <mergeCell ref="A17:B17"/>
    <mergeCell ref="A18:F18"/>
    <mergeCell ref="A20:F20"/>
    <mergeCell ref="H20:H21"/>
    <mergeCell ref="A21:F21"/>
    <mergeCell ref="A12:B12"/>
    <mergeCell ref="A13:B13"/>
    <mergeCell ref="A14:B14"/>
    <mergeCell ref="A15:B15"/>
    <mergeCell ref="A16:B16"/>
    <mergeCell ref="A6:B6"/>
    <mergeCell ref="A8:F8"/>
    <mergeCell ref="A7:B7"/>
    <mergeCell ref="A10:B10"/>
    <mergeCell ref="A11:B11"/>
    <mergeCell ref="A1:B1"/>
    <mergeCell ref="C1:E1"/>
    <mergeCell ref="B2:I2"/>
    <mergeCell ref="A4:B4"/>
    <mergeCell ref="A5:B5"/>
  </mergeCells>
  <conditionalFormatting sqref="D5:H6 J5:J6 D7:J7 D10:J12 C14:J17">
    <cfRule type="cellIs" dxfId="17" priority="2" operator="equal">
      <formula>0</formula>
    </cfRule>
  </conditionalFormatting>
  <conditionalFormatting sqref="G5:G6">
    <cfRule type="cellIs" dxfId="16" priority="1" operator="equal">
      <formula>0</formula>
    </cfRule>
  </conditionalFormatting>
  <conditionalFormatting sqref="I4:I6">
    <cfRule type="cellIs" dxfId="15" priority="6" operator="equal">
      <formula>0</formula>
    </cfRule>
  </conditionalFormatting>
  <conditionalFormatting sqref="J24:J27 J42:J46 J48:J50">
    <cfRule type="cellIs" dxfId="14" priority="3" operator="equal">
      <formula>0</formula>
    </cfRule>
  </conditionalFormatting>
  <conditionalFormatting sqref="J30:J32">
    <cfRule type="cellIs" dxfId="13" priority="4" operator="equal">
      <formula>0</formula>
    </cfRule>
  </conditionalFormatting>
  <conditionalFormatting sqref="J35:J39">
    <cfRule type="cellIs" dxfId="12" priority="5" operator="equal">
      <formula>0</formula>
    </cfRule>
  </conditionalFormatting>
  <printOptions horizontalCentered="1" gridLines="1"/>
  <pageMargins left="0.25" right="0.25" top="0.75" bottom="0.75" header="0" footer="0"/>
  <pageSetup orientation="landscape"/>
  <headerFooter>
    <oddHeader>&amp;LYear 3&amp;CSummary Proposal Budget</oddHead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6640625" defaultRowHeight="15" customHeight="1" x14ac:dyDescent="0.25"/>
  <cols>
    <col min="1" max="1" width="9.77734375" customWidth="1"/>
    <col min="2" max="2" width="30.109375" customWidth="1"/>
    <col min="3" max="3" width="13" customWidth="1"/>
    <col min="4" max="4" width="10" customWidth="1"/>
    <col min="5" max="5" width="9.21875" customWidth="1"/>
    <col min="6" max="6" width="12" customWidth="1"/>
    <col min="7" max="7" width="17.21875" customWidth="1"/>
    <col min="8" max="8" width="11.6640625" customWidth="1"/>
    <col min="9" max="9" width="15.109375" customWidth="1"/>
    <col min="10" max="10" width="11.88671875" customWidth="1"/>
    <col min="11" max="26" width="14.44140625" customWidth="1"/>
  </cols>
  <sheetData>
    <row r="1" spans="1:26" ht="24.75" customHeight="1" x14ac:dyDescent="0.25">
      <c r="A1" s="197" t="s">
        <v>0</v>
      </c>
      <c r="B1" s="198"/>
      <c r="C1" s="199" t="str">
        <f>Year1!C1</f>
        <v>Sylvia Bradshaw</v>
      </c>
      <c r="D1" s="200"/>
      <c r="E1" s="198"/>
      <c r="F1" s="126" t="s">
        <v>2</v>
      </c>
      <c r="G1" s="127">
        <f>DATE(YEAR('All Years'!D21)+'All Years'!D18,MONTH('All Years'!D21),DAY('All Years'!D21))</f>
        <v>46569</v>
      </c>
      <c r="H1" s="128" t="s">
        <v>3</v>
      </c>
      <c r="I1" s="127">
        <f>DATE(YEAR('All Years'!D22)+'All Years'!D18,MONTH('All Years'!D22),DAY('All Years'!D22))</f>
        <v>46934</v>
      </c>
      <c r="J1" s="129" t="s">
        <v>86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4.75" customHeight="1" x14ac:dyDescent="0.25">
      <c r="A2" s="6" t="s">
        <v>5</v>
      </c>
      <c r="B2" s="180" t="str">
        <f>Year1!B2</f>
        <v>NSF GRANTED - University of Idaho</v>
      </c>
      <c r="C2" s="179"/>
      <c r="D2" s="179"/>
      <c r="E2" s="179"/>
      <c r="F2" s="179"/>
      <c r="G2" s="179"/>
      <c r="H2" s="179"/>
      <c r="I2" s="177"/>
      <c r="J2" s="13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7" t="s">
        <v>8</v>
      </c>
      <c r="B3" s="7"/>
      <c r="C3" s="8" t="s">
        <v>9</v>
      </c>
      <c r="D3" s="8" t="s">
        <v>10</v>
      </c>
      <c r="E3" s="8" t="s">
        <v>11</v>
      </c>
      <c r="F3" s="8" t="s">
        <v>12</v>
      </c>
      <c r="G3" s="9" t="s">
        <v>13</v>
      </c>
      <c r="H3" s="8" t="s">
        <v>14</v>
      </c>
      <c r="I3" s="8" t="s">
        <v>15</v>
      </c>
      <c r="J3" s="8" t="s">
        <v>16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183" t="str">
        <f>Year1!A4</f>
        <v>Sylvia Bradshaw</v>
      </c>
      <c r="B4" s="181"/>
      <c r="C4" s="10" t="str">
        <f>Year1!C4</f>
        <v>PI</v>
      </c>
      <c r="D4" s="11">
        <f t="shared" ref="D4:D7" si="0">12*E4</f>
        <v>1.5</v>
      </c>
      <c r="E4" s="15">
        <v>0.125</v>
      </c>
      <c r="F4" s="14">
        <f>Year3!F4*(1+'All Years'!E20)</f>
        <v>125663.60500000001</v>
      </c>
      <c r="G4" s="14">
        <f t="shared" ref="G4:G6" si="1">SUM(F4/12)*D4</f>
        <v>15707.950625000001</v>
      </c>
      <c r="H4" s="15">
        <v>0.23499999999999999</v>
      </c>
      <c r="I4" s="14">
        <f t="shared" ref="I4:I6" si="2">(G4*H4)+(21138*E4)</f>
        <v>6333.6183968750001</v>
      </c>
      <c r="J4" s="14">
        <f t="shared" ref="J4:J7" si="3">G4+I4</f>
        <v>22041.569021875002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183" t="str">
        <f>Year1!A5</f>
        <v>Katie Gomez</v>
      </c>
      <c r="B5" s="181"/>
      <c r="C5" s="10">
        <f>Year1!C5</f>
        <v>0</v>
      </c>
      <c r="D5" s="11">
        <f t="shared" si="0"/>
        <v>1.7999999999999998</v>
      </c>
      <c r="E5" s="15">
        <f>Year1!E5</f>
        <v>0.15</v>
      </c>
      <c r="F5" s="14">
        <f>Year3!F5*(1+'All Years'!E20)</f>
        <v>84139.979000000007</v>
      </c>
      <c r="G5" s="14">
        <f t="shared" si="1"/>
        <v>12620.99685</v>
      </c>
      <c r="H5" s="15">
        <v>0.23499999999999999</v>
      </c>
      <c r="I5" s="14">
        <f t="shared" si="2"/>
        <v>6136.6342597499997</v>
      </c>
      <c r="J5" s="14">
        <f t="shared" si="3"/>
        <v>18757.63110975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25">
      <c r="A6" s="183" t="str">
        <f>Year1!A6</f>
        <v>TBD - Data Analyst</v>
      </c>
      <c r="B6" s="181"/>
      <c r="C6" s="10">
        <f>Year1!C6</f>
        <v>0</v>
      </c>
      <c r="D6" s="11">
        <f t="shared" si="0"/>
        <v>12</v>
      </c>
      <c r="E6" s="15">
        <f>Year1!E6</f>
        <v>1</v>
      </c>
      <c r="F6" s="14">
        <f>Year3!F6*(1+'All Years'!E20)</f>
        <v>65563.62</v>
      </c>
      <c r="G6" s="14">
        <f t="shared" si="1"/>
        <v>65563.62</v>
      </c>
      <c r="H6" s="15">
        <v>0.23499999999999999</v>
      </c>
      <c r="I6" s="14">
        <f t="shared" si="2"/>
        <v>36545.450700000001</v>
      </c>
      <c r="J6" s="14">
        <f t="shared" si="3"/>
        <v>102109.0707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5">
      <c r="A7" s="183" t="str">
        <f>Year1!A7</f>
        <v>Name here (e.g., co-PI, Sr. Personnel)</v>
      </c>
      <c r="B7" s="181"/>
      <c r="C7" s="10">
        <f>Year1!C7</f>
        <v>0</v>
      </c>
      <c r="D7" s="11">
        <f t="shared" si="0"/>
        <v>0</v>
      </c>
      <c r="E7" s="15">
        <f>Year1!E7</f>
        <v>0</v>
      </c>
      <c r="F7" s="14">
        <f>Year3!F7*(1+'All Years'!E20)</f>
        <v>0</v>
      </c>
      <c r="G7" s="14">
        <f>SUM(F7/9)*D7</f>
        <v>0</v>
      </c>
      <c r="H7" s="15">
        <v>0.23499999999999999</v>
      </c>
      <c r="I7" s="14">
        <f>G7*H7</f>
        <v>0</v>
      </c>
      <c r="J7" s="14">
        <f t="shared" si="3"/>
        <v>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184" t="s">
        <v>21</v>
      </c>
      <c r="B8" s="185"/>
      <c r="C8" s="185"/>
      <c r="D8" s="185"/>
      <c r="E8" s="185"/>
      <c r="F8" s="186"/>
      <c r="G8" s="18">
        <f>SUM(G4:G7)</f>
        <v>93892.567474999989</v>
      </c>
      <c r="H8" s="19"/>
      <c r="I8" s="20"/>
      <c r="J8" s="20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21" t="s">
        <v>22</v>
      </c>
      <c r="B9" s="21"/>
      <c r="C9" s="22" t="s">
        <v>9</v>
      </c>
      <c r="D9" s="22" t="s">
        <v>10</v>
      </c>
      <c r="E9" s="22" t="s">
        <v>11</v>
      </c>
      <c r="F9" s="22" t="s">
        <v>12</v>
      </c>
      <c r="G9" s="23" t="s">
        <v>13</v>
      </c>
      <c r="H9" s="22" t="s">
        <v>14</v>
      </c>
      <c r="I9" s="22" t="s">
        <v>15</v>
      </c>
      <c r="J9" s="24" t="s">
        <v>16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183" t="str">
        <f>Year1!A10</f>
        <v>Postdoctoral Scholars (*faculty benefit rate)</v>
      </c>
      <c r="B10" s="181"/>
      <c r="C10" s="10">
        <f>Year1!C10</f>
        <v>0</v>
      </c>
      <c r="D10" s="25">
        <f t="shared" ref="D10:D12" si="4">12*E10</f>
        <v>0</v>
      </c>
      <c r="E10" s="15">
        <f>Year1!E10</f>
        <v>0</v>
      </c>
      <c r="F10" s="14">
        <f>Year3!F10*(1+'All Years'!E20)</f>
        <v>0</v>
      </c>
      <c r="G10" s="14">
        <f>SUM(F10/9)*D10</f>
        <v>0</v>
      </c>
      <c r="H10" s="15">
        <v>0.23499999999999999</v>
      </c>
      <c r="I10" s="14">
        <f>G10*H10</f>
        <v>0</v>
      </c>
      <c r="J10" s="14">
        <f t="shared" ref="J10:J12" si="5">G10+I10</f>
        <v>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5">
      <c r="A11" s="183" t="str">
        <f>Year1!A11</f>
        <v>Other Professionals (**staff benefit rate)</v>
      </c>
      <c r="B11" s="181"/>
      <c r="C11" s="10">
        <f>Year1!C11</f>
        <v>0</v>
      </c>
      <c r="D11" s="25">
        <f t="shared" si="4"/>
        <v>0</v>
      </c>
      <c r="E11" s="15">
        <f>Year1!E11</f>
        <v>0</v>
      </c>
      <c r="F11" s="14">
        <f>Year3!F11*(1+'All Years'!E20)</f>
        <v>0</v>
      </c>
      <c r="G11" s="14">
        <f t="shared" ref="G11:G12" si="6">F11*E11</f>
        <v>0</v>
      </c>
      <c r="H11" s="15">
        <v>0.23499999999999999</v>
      </c>
      <c r="I11" s="14">
        <f t="shared" ref="I11:I12" si="7">(G11*H11)+(21138*E11)</f>
        <v>0</v>
      </c>
      <c r="J11" s="14">
        <f t="shared" si="5"/>
        <v>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25">
      <c r="A12" s="183" t="str">
        <f>Year1!A12</f>
        <v>Other Professionals (**staff benefit rate)</v>
      </c>
      <c r="B12" s="181"/>
      <c r="C12" s="10">
        <f>Year1!C12</f>
        <v>0</v>
      </c>
      <c r="D12" s="25">
        <f t="shared" si="4"/>
        <v>0</v>
      </c>
      <c r="E12" s="15">
        <f>Year1!E12</f>
        <v>0</v>
      </c>
      <c r="F12" s="14">
        <f>Year3!F12*(1+'All Years'!E20)</f>
        <v>0</v>
      </c>
      <c r="G12" s="14">
        <f t="shared" si="6"/>
        <v>0</v>
      </c>
      <c r="H12" s="19">
        <v>0.23499999999999999</v>
      </c>
      <c r="I12" s="14">
        <f t="shared" si="7"/>
        <v>0</v>
      </c>
      <c r="J12" s="14">
        <f t="shared" si="5"/>
        <v>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25">
      <c r="A13" s="187"/>
      <c r="B13" s="181"/>
      <c r="C13" s="26" t="s">
        <v>25</v>
      </c>
      <c r="D13" s="27" t="s">
        <v>26</v>
      </c>
      <c r="E13" s="28" t="s">
        <v>27</v>
      </c>
      <c r="F13" s="29" t="s">
        <v>28</v>
      </c>
      <c r="G13" s="131" t="s">
        <v>29</v>
      </c>
      <c r="H13" s="8" t="s">
        <v>14</v>
      </c>
      <c r="I13" s="8" t="s">
        <v>15</v>
      </c>
      <c r="J13" s="8" t="s">
        <v>16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25">
      <c r="A14" s="183" t="str">
        <f>Year1!A14</f>
        <v>Graduate Students (*student benefit rate)</v>
      </c>
      <c r="B14" s="181"/>
      <c r="C14" s="136">
        <f>Year1!C14</f>
        <v>0</v>
      </c>
      <c r="D14" s="132">
        <f>Year1!D14</f>
        <v>0</v>
      </c>
      <c r="E14" s="132">
        <f>Year1!E14</f>
        <v>0</v>
      </c>
      <c r="F14" s="133">
        <f>Year3!F14*(1+'All Years'!E20)</f>
        <v>0</v>
      </c>
      <c r="G14" s="14">
        <f>F14*E14*D14*C14</f>
        <v>0</v>
      </c>
      <c r="H14" s="15">
        <v>7.0000000000000007E-2</v>
      </c>
      <c r="I14" s="14">
        <f t="shared" ref="I14:I17" si="8">G14*H14</f>
        <v>0</v>
      </c>
      <c r="J14" s="14">
        <f t="shared" ref="J14:J17" si="9">G14+I14</f>
        <v>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5">
      <c r="A15" s="183" t="str">
        <f>Year1!A15</f>
        <v>Undergraduate Students (*student benefit rate)</v>
      </c>
      <c r="B15" s="181"/>
      <c r="C15" s="136" t="str">
        <f>Year1!C15</f>
        <v>1</v>
      </c>
      <c r="D15" s="132">
        <f>Year1!D15</f>
        <v>42</v>
      </c>
      <c r="E15" s="132">
        <f>Year1!E15</f>
        <v>10</v>
      </c>
      <c r="F15" s="133">
        <v>17</v>
      </c>
      <c r="G15" s="14">
        <f>C15*D15*E15*F15</f>
        <v>7140</v>
      </c>
      <c r="H15" s="15">
        <v>7.0000000000000007E-2</v>
      </c>
      <c r="I15" s="14">
        <f t="shared" si="8"/>
        <v>499.80000000000007</v>
      </c>
      <c r="J15" s="14">
        <f t="shared" si="9"/>
        <v>7639.8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25">
      <c r="A16" s="183" t="str">
        <f>Year1!A16</f>
        <v>Administrative/Clerical (**non-Student benefit rate)</v>
      </c>
      <c r="B16" s="181"/>
      <c r="C16" s="136">
        <f>Year1!C16</f>
        <v>0</v>
      </c>
      <c r="D16" s="132">
        <f>Year1!D16</f>
        <v>0</v>
      </c>
      <c r="E16" s="132">
        <f>Year1!E16</f>
        <v>0</v>
      </c>
      <c r="F16" s="133">
        <f>Year3!F16*(1+'All Years'!E20)</f>
        <v>0</v>
      </c>
      <c r="G16" s="14">
        <f t="shared" ref="G16:G17" si="10">F16*E16*D16*C16</f>
        <v>0</v>
      </c>
      <c r="H16" s="15">
        <v>9.5000000000000001E-2</v>
      </c>
      <c r="I16" s="14">
        <f t="shared" si="8"/>
        <v>0</v>
      </c>
      <c r="J16" s="14">
        <f t="shared" si="9"/>
        <v>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5">
      <c r="A17" s="183" t="str">
        <f>Year1!A17</f>
        <v>Other (**non-student benefit rate)</v>
      </c>
      <c r="B17" s="181"/>
      <c r="C17" s="136">
        <f>Year1!C17</f>
        <v>0</v>
      </c>
      <c r="D17" s="132">
        <f>Year1!D17</f>
        <v>0</v>
      </c>
      <c r="E17" s="132">
        <f>Year1!E17</f>
        <v>0</v>
      </c>
      <c r="F17" s="133">
        <f>Year3!F17*(1+'All Years'!E20)</f>
        <v>0</v>
      </c>
      <c r="G17" s="14">
        <f t="shared" si="10"/>
        <v>0</v>
      </c>
      <c r="H17" s="15">
        <v>9.5000000000000001E-2</v>
      </c>
      <c r="I17" s="14">
        <f t="shared" si="8"/>
        <v>0</v>
      </c>
      <c r="J17" s="14">
        <f t="shared" si="9"/>
        <v>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5">
      <c r="A18" s="184" t="s">
        <v>35</v>
      </c>
      <c r="B18" s="185"/>
      <c r="C18" s="185"/>
      <c r="D18" s="185"/>
      <c r="E18" s="185"/>
      <c r="F18" s="186"/>
      <c r="G18" s="18">
        <f>SUM(G10:G17)</f>
        <v>7140</v>
      </c>
      <c r="H18" s="19"/>
      <c r="I18" s="20"/>
      <c r="J18" s="20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5">
      <c r="A19" s="33" t="s">
        <v>36</v>
      </c>
      <c r="B19" s="34"/>
      <c r="C19" s="34"/>
      <c r="D19" s="34"/>
      <c r="E19" s="34"/>
      <c r="F19" s="34"/>
      <c r="G19" s="35"/>
      <c r="H19" s="35"/>
      <c r="I19" s="36"/>
      <c r="J19" s="37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188"/>
      <c r="B20" s="179"/>
      <c r="C20" s="179"/>
      <c r="D20" s="179"/>
      <c r="E20" s="179"/>
      <c r="F20" s="181"/>
      <c r="G20" s="38">
        <f>G8+G18</f>
        <v>101032.56747499999</v>
      </c>
      <c r="H20" s="189" t="s">
        <v>37</v>
      </c>
      <c r="I20" s="39">
        <f t="shared" ref="I20:J20" si="11">SUM(I4:I19)</f>
        <v>49515.503356625006</v>
      </c>
      <c r="J20" s="40">
        <f t="shared" si="11"/>
        <v>150548.07083162499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5">
      <c r="A21" s="191" t="s">
        <v>38</v>
      </c>
      <c r="B21" s="179"/>
      <c r="C21" s="179"/>
      <c r="D21" s="179"/>
      <c r="E21" s="179"/>
      <c r="F21" s="181"/>
      <c r="G21" s="9" t="s">
        <v>39</v>
      </c>
      <c r="H21" s="190"/>
      <c r="I21" s="41" t="s">
        <v>40</v>
      </c>
      <c r="J21" s="42" t="s">
        <v>41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.5" customHeight="1" x14ac:dyDescent="0.25">
      <c r="A22" s="43" t="s">
        <v>42</v>
      </c>
      <c r="B22" s="44"/>
      <c r="C22" s="45" t="s">
        <v>43</v>
      </c>
      <c r="D22" s="44"/>
      <c r="E22" s="44"/>
      <c r="F22" s="44"/>
      <c r="G22" s="46"/>
      <c r="H22" s="46"/>
      <c r="I22" s="44"/>
      <c r="J22" s="47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A23" s="48" t="s">
        <v>87</v>
      </c>
      <c r="B23" s="49"/>
      <c r="C23" s="50" t="s">
        <v>45</v>
      </c>
      <c r="D23" s="51"/>
      <c r="E23" s="51"/>
      <c r="F23" s="51"/>
      <c r="G23" s="51"/>
      <c r="H23" s="51"/>
      <c r="I23" s="51"/>
      <c r="J23" s="52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192" t="s">
        <v>46</v>
      </c>
      <c r="B24" s="179"/>
      <c r="C24" s="179"/>
      <c r="D24" s="179"/>
      <c r="E24" s="179"/>
      <c r="F24" s="179"/>
      <c r="G24" s="179"/>
      <c r="H24" s="179"/>
      <c r="I24" s="181"/>
      <c r="J24" s="53">
        <v>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192"/>
      <c r="B25" s="179"/>
      <c r="C25" s="179"/>
      <c r="D25" s="179"/>
      <c r="E25" s="179"/>
      <c r="F25" s="179"/>
      <c r="G25" s="179"/>
      <c r="H25" s="179"/>
      <c r="I25" s="181"/>
      <c r="J25" s="54">
        <v>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192"/>
      <c r="B26" s="179"/>
      <c r="C26" s="179"/>
      <c r="D26" s="179"/>
      <c r="E26" s="179"/>
      <c r="F26" s="179"/>
      <c r="G26" s="179"/>
      <c r="H26" s="179"/>
      <c r="I26" s="181"/>
      <c r="J26" s="55"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192"/>
      <c r="B27" s="179"/>
      <c r="C27" s="179"/>
      <c r="D27" s="179"/>
      <c r="E27" s="179"/>
      <c r="F27" s="179"/>
      <c r="G27" s="179"/>
      <c r="H27" s="179"/>
      <c r="I27" s="181"/>
      <c r="J27" s="55">
        <v>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56"/>
      <c r="B28" s="57"/>
      <c r="C28" s="57"/>
      <c r="D28" s="57"/>
      <c r="E28" s="57"/>
      <c r="F28" s="57"/>
      <c r="G28" s="57"/>
      <c r="H28" s="57"/>
      <c r="I28" s="58" t="s">
        <v>16</v>
      </c>
      <c r="J28" s="59">
        <f>SUM(J24:J27)</f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48" t="s">
        <v>47</v>
      </c>
      <c r="B29" s="51"/>
      <c r="C29" s="51"/>
      <c r="D29" s="51"/>
      <c r="E29" s="51"/>
      <c r="F29" s="51"/>
      <c r="G29" s="51"/>
      <c r="H29" s="51"/>
      <c r="I29" s="51"/>
      <c r="J29" s="52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192" t="s">
        <v>48</v>
      </c>
      <c r="B30" s="179"/>
      <c r="C30" s="179"/>
      <c r="D30" s="179"/>
      <c r="E30" s="179"/>
      <c r="F30" s="179"/>
      <c r="G30" s="179"/>
      <c r="H30" s="179"/>
      <c r="I30" s="181"/>
      <c r="J30" s="60">
        <v>3375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137" t="s">
        <v>82</v>
      </c>
      <c r="B31" s="138"/>
      <c r="C31" s="138"/>
      <c r="D31" s="138"/>
      <c r="E31" s="138"/>
      <c r="F31" s="138"/>
      <c r="G31" s="138"/>
      <c r="H31" s="138"/>
      <c r="I31" s="139"/>
      <c r="J31" s="61">
        <v>2500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137" t="s">
        <v>83</v>
      </c>
      <c r="B32" s="138"/>
      <c r="C32" s="138"/>
      <c r="D32" s="138"/>
      <c r="E32" s="138"/>
      <c r="F32" s="138"/>
      <c r="G32" s="138"/>
      <c r="H32" s="138"/>
      <c r="I32" s="139"/>
      <c r="J32" s="61">
        <f>3045*3</f>
        <v>9135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56"/>
      <c r="B33" s="57"/>
      <c r="C33" s="57"/>
      <c r="D33" s="57"/>
      <c r="E33" s="57"/>
      <c r="F33" s="57"/>
      <c r="G33" s="57"/>
      <c r="H33" s="62"/>
      <c r="I33" s="63" t="s">
        <v>16</v>
      </c>
      <c r="J33" s="59">
        <f>SUM(J30:J32)</f>
        <v>15010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48" t="s">
        <v>77</v>
      </c>
      <c r="B34" s="51"/>
      <c r="C34" s="51"/>
      <c r="D34" s="51"/>
      <c r="E34" s="51"/>
      <c r="F34" s="51"/>
      <c r="G34" s="51"/>
      <c r="H34" s="51"/>
      <c r="I34" s="64"/>
      <c r="J34" s="5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196" t="s">
        <v>51</v>
      </c>
      <c r="B35" s="185"/>
      <c r="C35" s="185"/>
      <c r="D35" s="185"/>
      <c r="E35" s="185"/>
      <c r="F35" s="185"/>
      <c r="G35" s="185"/>
      <c r="H35" s="186"/>
      <c r="I35" s="65"/>
      <c r="J35" s="60">
        <v>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192" t="s">
        <v>52</v>
      </c>
      <c r="B36" s="179"/>
      <c r="C36" s="179"/>
      <c r="D36" s="179"/>
      <c r="E36" s="179"/>
      <c r="F36" s="179"/>
      <c r="G36" s="179"/>
      <c r="H36" s="179"/>
      <c r="I36" s="181"/>
      <c r="J36" s="37">
        <v>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192" t="s">
        <v>53</v>
      </c>
      <c r="B37" s="179"/>
      <c r="C37" s="179"/>
      <c r="D37" s="179"/>
      <c r="E37" s="179"/>
      <c r="F37" s="179"/>
      <c r="G37" s="179"/>
      <c r="H37" s="179"/>
      <c r="I37" s="181"/>
      <c r="J37" s="37">
        <v>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192" t="s">
        <v>54</v>
      </c>
      <c r="B38" s="179"/>
      <c r="C38" s="179"/>
      <c r="D38" s="179"/>
      <c r="E38" s="179"/>
      <c r="F38" s="179"/>
      <c r="G38" s="179"/>
      <c r="H38" s="179"/>
      <c r="I38" s="181"/>
      <c r="J38" s="61">
        <v>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192" t="s">
        <v>55</v>
      </c>
      <c r="B39" s="179"/>
      <c r="C39" s="179"/>
      <c r="D39" s="179"/>
      <c r="E39" s="179"/>
      <c r="F39" s="179"/>
      <c r="G39" s="179"/>
      <c r="H39" s="179"/>
      <c r="I39" s="181"/>
      <c r="J39" s="66">
        <v>10000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67"/>
      <c r="B40" s="68"/>
      <c r="C40" s="68"/>
      <c r="D40" s="68"/>
      <c r="E40" s="68"/>
      <c r="F40" s="68"/>
      <c r="G40" s="68"/>
      <c r="H40" s="69"/>
      <c r="I40" s="63" t="s">
        <v>16</v>
      </c>
      <c r="J40" s="70">
        <f>SUM(J35:J39)</f>
        <v>10000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48" t="s">
        <v>56</v>
      </c>
      <c r="B41" s="51"/>
      <c r="C41" s="51"/>
      <c r="D41" s="51"/>
      <c r="E41" s="51"/>
      <c r="F41" s="51"/>
      <c r="G41" s="51"/>
      <c r="H41" s="51"/>
      <c r="I41" s="51"/>
      <c r="J41" s="52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192" t="s">
        <v>57</v>
      </c>
      <c r="B42" s="179"/>
      <c r="C42" s="179"/>
      <c r="D42" s="179"/>
      <c r="E42" s="179"/>
      <c r="F42" s="179"/>
      <c r="G42" s="179"/>
      <c r="H42" s="179"/>
      <c r="I42" s="181"/>
      <c r="J42" s="60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192" t="s">
        <v>58</v>
      </c>
      <c r="B43" s="179"/>
      <c r="C43" s="179"/>
      <c r="D43" s="179"/>
      <c r="E43" s="179"/>
      <c r="F43" s="179"/>
      <c r="G43" s="179"/>
      <c r="H43" s="179"/>
      <c r="I43" s="181"/>
      <c r="J43" s="37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192" t="s">
        <v>59</v>
      </c>
      <c r="B44" s="179"/>
      <c r="C44" s="179"/>
      <c r="D44" s="179"/>
      <c r="E44" s="179"/>
      <c r="F44" s="179"/>
      <c r="G44" s="179"/>
      <c r="H44" s="179"/>
      <c r="I44" s="181"/>
      <c r="J44" s="37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192" t="s">
        <v>60</v>
      </c>
      <c r="B45" s="179"/>
      <c r="C45" s="179"/>
      <c r="D45" s="179"/>
      <c r="E45" s="179"/>
      <c r="F45" s="179"/>
      <c r="G45" s="179"/>
      <c r="H45" s="179"/>
      <c r="I45" s="181"/>
      <c r="J45" s="37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192"/>
      <c r="B46" s="179"/>
      <c r="C46" s="179"/>
      <c r="D46" s="179"/>
      <c r="E46" s="179"/>
      <c r="F46" s="179"/>
      <c r="G46" s="179"/>
      <c r="H46" s="179"/>
      <c r="I46" s="181"/>
      <c r="J46" s="37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67" t="s">
        <v>88</v>
      </c>
      <c r="B47" s="71"/>
      <c r="C47" s="71"/>
      <c r="D47" s="71"/>
      <c r="E47" s="71"/>
      <c r="F47" s="71"/>
      <c r="G47" s="71"/>
      <c r="H47" s="72"/>
      <c r="I47" s="73" t="s">
        <v>62</v>
      </c>
      <c r="J47" s="74">
        <f>SUM(G48:G50)</f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75" t="s">
        <v>63</v>
      </c>
      <c r="B48" s="76" t="s">
        <v>64</v>
      </c>
      <c r="C48" s="77"/>
      <c r="D48" s="77"/>
      <c r="E48" s="77"/>
      <c r="F48" s="78"/>
      <c r="G48" s="79">
        <v>0</v>
      </c>
      <c r="H48" s="80"/>
      <c r="I48" s="81"/>
      <c r="J48" s="61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82" t="s">
        <v>65</v>
      </c>
      <c r="B49" s="76" t="s">
        <v>64</v>
      </c>
      <c r="C49" s="77"/>
      <c r="D49" s="77"/>
      <c r="E49" s="77"/>
      <c r="F49" s="78"/>
      <c r="G49" s="79">
        <v>0</v>
      </c>
      <c r="H49" s="83"/>
      <c r="I49" s="81"/>
      <c r="J49" s="61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84" t="s">
        <v>66</v>
      </c>
      <c r="B50" s="85" t="s">
        <v>64</v>
      </c>
      <c r="C50" s="86"/>
      <c r="D50" s="86"/>
      <c r="E50" s="86"/>
      <c r="F50" s="87"/>
      <c r="G50" s="88">
        <v>0</v>
      </c>
      <c r="H50" s="89"/>
      <c r="I50" s="90"/>
      <c r="J50" s="37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193"/>
      <c r="B51" s="194"/>
      <c r="C51" s="194"/>
      <c r="D51" s="194"/>
      <c r="E51" s="194"/>
      <c r="F51" s="194"/>
      <c r="G51" s="194"/>
      <c r="H51" s="195"/>
      <c r="I51" s="63" t="s">
        <v>16</v>
      </c>
      <c r="J51" s="91">
        <f>SUM(J42:J50)</f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customHeight="1" x14ac:dyDescent="0.25">
      <c r="A52" s="92" t="str">
        <f>Year1!A52</f>
        <v>H. Total Direct Costs (A-G)</v>
      </c>
      <c r="B52" s="93"/>
      <c r="C52" s="93"/>
      <c r="D52" s="93"/>
      <c r="E52" s="93"/>
      <c r="F52" s="93"/>
      <c r="G52" s="93"/>
      <c r="H52" s="94"/>
      <c r="I52" s="95"/>
      <c r="J52" s="96">
        <f>SUM(J51+J39+J33+J28+J20)</f>
        <v>175558.07083162499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97"/>
      <c r="B53" s="98"/>
      <c r="C53" s="98"/>
      <c r="D53" s="98"/>
      <c r="E53" s="99" t="s">
        <v>68</v>
      </c>
      <c r="F53" s="100"/>
      <c r="G53" s="101" t="s">
        <v>69</v>
      </c>
      <c r="H53" s="102"/>
      <c r="I53" s="103"/>
      <c r="J53" s="104"/>
      <c r="K53" s="5"/>
      <c r="L53" s="10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106" t="str">
        <f>Year1!A54</f>
        <v xml:space="preserve">I. Indirect Costs </v>
      </c>
      <c r="B54" s="106"/>
      <c r="C54" s="134" t="str">
        <f>Year1!C54</f>
        <v>(Salaries, Wages, Fringe Benefits)</v>
      </c>
      <c r="D54" s="106"/>
      <c r="E54" s="108">
        <f>J20</f>
        <v>150548.07083162499</v>
      </c>
      <c r="F54" s="109"/>
      <c r="G54" s="110">
        <v>0.45</v>
      </c>
      <c r="H54" s="102"/>
      <c r="I54" s="103"/>
      <c r="J54" s="111">
        <f>E54*G54</f>
        <v>67746.631874231243</v>
      </c>
      <c r="K54" s="11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113"/>
      <c r="B55" s="114"/>
      <c r="C55" s="114"/>
      <c r="D55" s="114"/>
      <c r="E55" s="115"/>
      <c r="F55" s="116"/>
      <c r="G55" s="117"/>
      <c r="H55" s="102"/>
      <c r="I55" s="103"/>
      <c r="J55" s="100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" customHeight="1" x14ac:dyDescent="0.25">
      <c r="A56" s="118" t="str">
        <f>Year1!A56</f>
        <v>J. Total Amount Requested (H + I)</v>
      </c>
      <c r="B56" s="119"/>
      <c r="C56" s="119"/>
      <c r="D56" s="119"/>
      <c r="E56" s="119"/>
      <c r="F56" s="119"/>
      <c r="G56" s="119"/>
      <c r="H56" s="120"/>
      <c r="I56" s="121" t="s">
        <v>89</v>
      </c>
      <c r="J56" s="122">
        <f>SUM(J52:J54)</f>
        <v>243304.70270585624</v>
      </c>
      <c r="K56" s="12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7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125" t="s">
        <v>74</v>
      </c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13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/>
    <row r="261" spans="1:26" ht="15.75" customHeight="1" x14ac:dyDescent="0.25"/>
    <row r="262" spans="1:26" ht="15.75" customHeight="1" x14ac:dyDescent="0.25"/>
    <row r="263" spans="1:26" ht="15.75" customHeight="1" x14ac:dyDescent="0.25"/>
    <row r="264" spans="1:26" ht="15.75" customHeight="1" x14ac:dyDescent="0.25"/>
    <row r="265" spans="1:26" ht="15.75" customHeight="1" x14ac:dyDescent="0.25"/>
    <row r="266" spans="1:26" ht="15.75" customHeight="1" x14ac:dyDescent="0.25"/>
    <row r="267" spans="1:26" ht="15.75" customHeight="1" x14ac:dyDescent="0.25"/>
    <row r="268" spans="1:26" ht="15.75" customHeight="1" x14ac:dyDescent="0.25"/>
    <row r="269" spans="1:26" ht="15.75" customHeight="1" x14ac:dyDescent="0.25"/>
    <row r="270" spans="1:26" ht="15.75" customHeight="1" x14ac:dyDescent="0.25"/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A44:I44"/>
    <mergeCell ref="A45:I45"/>
    <mergeCell ref="A46:I46"/>
    <mergeCell ref="A51:H51"/>
    <mergeCell ref="A25:I25"/>
    <mergeCell ref="A26:I26"/>
    <mergeCell ref="A27:I27"/>
    <mergeCell ref="A30:I30"/>
    <mergeCell ref="A35:H35"/>
    <mergeCell ref="A36:I36"/>
    <mergeCell ref="A37:I37"/>
    <mergeCell ref="A24:I24"/>
    <mergeCell ref="A38:I38"/>
    <mergeCell ref="A39:I39"/>
    <mergeCell ref="A42:I42"/>
    <mergeCell ref="A43:I43"/>
    <mergeCell ref="A17:B17"/>
    <mergeCell ref="A18:F18"/>
    <mergeCell ref="A20:F20"/>
    <mergeCell ref="H20:H21"/>
    <mergeCell ref="A21:F21"/>
    <mergeCell ref="A12:B12"/>
    <mergeCell ref="A13:B13"/>
    <mergeCell ref="A14:B14"/>
    <mergeCell ref="A15:B15"/>
    <mergeCell ref="A16:B16"/>
    <mergeCell ref="A6:B6"/>
    <mergeCell ref="A8:F8"/>
    <mergeCell ref="A7:B7"/>
    <mergeCell ref="A10:B10"/>
    <mergeCell ref="A11:B11"/>
    <mergeCell ref="A1:B1"/>
    <mergeCell ref="C1:E1"/>
    <mergeCell ref="B2:I2"/>
    <mergeCell ref="A4:B4"/>
    <mergeCell ref="A5:B5"/>
  </mergeCells>
  <conditionalFormatting sqref="D5:H6 J5:J6 D7:J7 D10:J12 C14:J17">
    <cfRule type="cellIs" dxfId="11" priority="2" operator="equal">
      <formula>0</formula>
    </cfRule>
  </conditionalFormatting>
  <conditionalFormatting sqref="G5:G6">
    <cfRule type="cellIs" dxfId="10" priority="1" operator="equal">
      <formula>0</formula>
    </cfRule>
  </conditionalFormatting>
  <conditionalFormatting sqref="I4:I6">
    <cfRule type="cellIs" dxfId="9" priority="6" operator="equal">
      <formula>0</formula>
    </cfRule>
  </conditionalFormatting>
  <conditionalFormatting sqref="J24:J27 J42:J46 J48:J50">
    <cfRule type="cellIs" dxfId="8" priority="3" operator="equal">
      <formula>0</formula>
    </cfRule>
  </conditionalFormatting>
  <conditionalFormatting sqref="J30:J32">
    <cfRule type="cellIs" dxfId="7" priority="4" operator="equal">
      <formula>0</formula>
    </cfRule>
  </conditionalFormatting>
  <conditionalFormatting sqref="J35:J39">
    <cfRule type="cellIs" dxfId="6" priority="5" operator="equal">
      <formula>0</formula>
    </cfRule>
  </conditionalFormatting>
  <printOptions horizontalCentered="1" gridLines="1"/>
  <pageMargins left="0.25" right="0.25" top="0.75" bottom="0.75" header="0" footer="0"/>
  <pageSetup orientation="landscape"/>
  <headerFooter>
    <oddHeader>&amp;LYear 3&amp;CSummary Proposal Budget</oddHead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2.6640625" defaultRowHeight="15" customHeight="1" x14ac:dyDescent="0.25"/>
  <cols>
    <col min="1" max="1" width="9.77734375" customWidth="1"/>
    <col min="2" max="2" width="30.109375" customWidth="1"/>
    <col min="3" max="3" width="13" customWidth="1"/>
    <col min="4" max="4" width="10" customWidth="1"/>
    <col min="5" max="5" width="9.21875" customWidth="1"/>
    <col min="6" max="6" width="12" customWidth="1"/>
    <col min="7" max="7" width="17.21875" customWidth="1"/>
    <col min="8" max="8" width="11.6640625" customWidth="1"/>
    <col min="9" max="9" width="15.109375" customWidth="1"/>
    <col min="10" max="10" width="11.88671875" customWidth="1"/>
    <col min="11" max="26" width="14.44140625" customWidth="1"/>
  </cols>
  <sheetData>
    <row r="1" spans="1:26" ht="24.75" customHeight="1" x14ac:dyDescent="0.25">
      <c r="A1" s="197" t="s">
        <v>0</v>
      </c>
      <c r="B1" s="198"/>
      <c r="C1" s="199" t="str">
        <f>Year1!C1</f>
        <v>Sylvia Bradshaw</v>
      </c>
      <c r="D1" s="200"/>
      <c r="E1" s="198"/>
      <c r="F1" s="126" t="s">
        <v>2</v>
      </c>
      <c r="G1" s="127">
        <v>46935</v>
      </c>
      <c r="H1" s="128" t="s">
        <v>3</v>
      </c>
      <c r="I1" s="127">
        <v>47299</v>
      </c>
      <c r="J1" s="129" t="s">
        <v>90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4.75" customHeight="1" x14ac:dyDescent="0.25">
      <c r="A2" s="6" t="s">
        <v>5</v>
      </c>
      <c r="B2" s="180" t="str">
        <f>Year1!B2</f>
        <v>NSF GRANTED - University of Idaho</v>
      </c>
      <c r="C2" s="179"/>
      <c r="D2" s="179"/>
      <c r="E2" s="179"/>
      <c r="F2" s="179"/>
      <c r="G2" s="179"/>
      <c r="H2" s="179"/>
      <c r="I2" s="177"/>
      <c r="J2" s="13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7" t="s">
        <v>8</v>
      </c>
      <c r="B3" s="7"/>
      <c r="C3" s="8" t="s">
        <v>9</v>
      </c>
      <c r="D3" s="8" t="s">
        <v>10</v>
      </c>
      <c r="E3" s="8" t="s">
        <v>11</v>
      </c>
      <c r="F3" s="8" t="s">
        <v>12</v>
      </c>
      <c r="G3" s="9" t="s">
        <v>13</v>
      </c>
      <c r="H3" s="8" t="s">
        <v>14</v>
      </c>
      <c r="I3" s="8" t="s">
        <v>15</v>
      </c>
      <c r="J3" s="8" t="s">
        <v>16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183" t="str">
        <f>Year1!A4</f>
        <v>Sylvia Bradshaw</v>
      </c>
      <c r="B4" s="181"/>
      <c r="C4" s="10" t="str">
        <f>Year1!C4</f>
        <v>PI</v>
      </c>
      <c r="D4" s="11">
        <f t="shared" ref="D4:D7" si="0">12*E4</f>
        <v>1.5</v>
      </c>
      <c r="E4" s="15">
        <v>0.125</v>
      </c>
      <c r="F4" s="14">
        <f>Year4!F4*(1+'All Years'!E20)</f>
        <v>129433.51315000001</v>
      </c>
      <c r="G4" s="14">
        <f t="shared" ref="G4:G6" si="1">SUM(F4/12)*D4</f>
        <v>16179.189143750002</v>
      </c>
      <c r="H4" s="15">
        <v>0.23499999999999999</v>
      </c>
      <c r="I4" s="14">
        <f t="shared" ref="I4:I6" si="2">(G4*H4)+(21138*E4)</f>
        <v>6444.3594487812497</v>
      </c>
      <c r="J4" s="14">
        <f t="shared" ref="J4:J7" si="3">G4+I4</f>
        <v>22623.548592531253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183" t="str">
        <f>Year1!A5</f>
        <v>Katie Gomez</v>
      </c>
      <c r="B5" s="181"/>
      <c r="C5" s="10">
        <f>Year1!C5</f>
        <v>0</v>
      </c>
      <c r="D5" s="11">
        <f t="shared" si="0"/>
        <v>1.7999999999999998</v>
      </c>
      <c r="E5" s="15">
        <f>Year1!E5</f>
        <v>0.15</v>
      </c>
      <c r="F5" s="14">
        <f>Year4!F5*(1+'All Years'!E20)</f>
        <v>86664.178370000009</v>
      </c>
      <c r="G5" s="14">
        <f t="shared" si="1"/>
        <v>12999.626755499999</v>
      </c>
      <c r="H5" s="15">
        <v>0.23499999999999999</v>
      </c>
      <c r="I5" s="14">
        <f t="shared" si="2"/>
        <v>6225.612287542499</v>
      </c>
      <c r="J5" s="14">
        <f t="shared" si="3"/>
        <v>19225.2390430425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25">
      <c r="A6" s="183" t="str">
        <f>Year1!A6</f>
        <v>TBD - Data Analyst</v>
      </c>
      <c r="B6" s="181"/>
      <c r="C6" s="10">
        <f>Year1!C6</f>
        <v>0</v>
      </c>
      <c r="D6" s="11">
        <f t="shared" si="0"/>
        <v>12</v>
      </c>
      <c r="E6" s="15">
        <f>Year1!E6</f>
        <v>1</v>
      </c>
      <c r="F6" s="14">
        <f>Year4!F6*(1+'All Years'!E20)</f>
        <v>67530.528599999991</v>
      </c>
      <c r="G6" s="14">
        <f t="shared" si="1"/>
        <v>67530.528599999991</v>
      </c>
      <c r="H6" s="15">
        <v>0.23499999999999999</v>
      </c>
      <c r="I6" s="14">
        <f t="shared" si="2"/>
        <v>37007.674220999994</v>
      </c>
      <c r="J6" s="14">
        <f t="shared" si="3"/>
        <v>104538.20282099998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5">
      <c r="A7" s="183"/>
      <c r="B7" s="181"/>
      <c r="C7" s="10">
        <f>Year1!C7</f>
        <v>0</v>
      </c>
      <c r="D7" s="11">
        <f t="shared" si="0"/>
        <v>0</v>
      </c>
      <c r="E7" s="15">
        <f>Year1!E7</f>
        <v>0</v>
      </c>
      <c r="F7" s="14">
        <f>Year3!F7*(1+'All Years'!E20)</f>
        <v>0</v>
      </c>
      <c r="G7" s="14">
        <f>SUM(F7/9)*D7</f>
        <v>0</v>
      </c>
      <c r="H7" s="15"/>
      <c r="I7" s="14">
        <f>G7*H7</f>
        <v>0</v>
      </c>
      <c r="J7" s="14">
        <f t="shared" si="3"/>
        <v>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184" t="s">
        <v>21</v>
      </c>
      <c r="B8" s="185"/>
      <c r="C8" s="185"/>
      <c r="D8" s="185"/>
      <c r="E8" s="185"/>
      <c r="F8" s="186"/>
      <c r="G8" s="18">
        <f>SUM(G4:G7)</f>
        <v>96709.344499250001</v>
      </c>
      <c r="H8" s="19"/>
      <c r="I8" s="20"/>
      <c r="J8" s="20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21" t="s">
        <v>22</v>
      </c>
      <c r="B9" s="21"/>
      <c r="C9" s="22" t="s">
        <v>9</v>
      </c>
      <c r="D9" s="22" t="s">
        <v>10</v>
      </c>
      <c r="E9" s="22" t="s">
        <v>11</v>
      </c>
      <c r="F9" s="22" t="s">
        <v>12</v>
      </c>
      <c r="G9" s="23" t="s">
        <v>13</v>
      </c>
      <c r="H9" s="22" t="s">
        <v>14</v>
      </c>
      <c r="I9" s="22" t="s">
        <v>15</v>
      </c>
      <c r="J9" s="24" t="s">
        <v>16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183" t="str">
        <f>Year1!A10</f>
        <v>Postdoctoral Scholars (*faculty benefit rate)</v>
      </c>
      <c r="B10" s="181"/>
      <c r="C10" s="10">
        <f>Year1!C10</f>
        <v>0</v>
      </c>
      <c r="D10" s="25">
        <f t="shared" ref="D10:D12" si="4">12*E10</f>
        <v>0</v>
      </c>
      <c r="E10" s="15">
        <f>Year1!E10</f>
        <v>0</v>
      </c>
      <c r="F10" s="14">
        <f>Year3!F10*(1+'All Years'!E20)</f>
        <v>0</v>
      </c>
      <c r="G10" s="14">
        <f>SUM(F10/9)*D10</f>
        <v>0</v>
      </c>
      <c r="H10" s="15">
        <v>0.23499999999999999</v>
      </c>
      <c r="I10" s="14">
        <f>G10*H10</f>
        <v>0</v>
      </c>
      <c r="J10" s="14">
        <f t="shared" ref="J10:J12" si="5">G10+I10</f>
        <v>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5">
      <c r="A11" s="183" t="str">
        <f>Year1!A11</f>
        <v>Other Professionals (**staff benefit rate)</v>
      </c>
      <c r="B11" s="181"/>
      <c r="C11" s="10">
        <f>Year1!C11</f>
        <v>0</v>
      </c>
      <c r="D11" s="25">
        <f t="shared" si="4"/>
        <v>0</v>
      </c>
      <c r="E11" s="15">
        <f>Year1!E11</f>
        <v>0</v>
      </c>
      <c r="F11" s="14">
        <f>Year3!F11*(1+'All Years'!E20)</f>
        <v>0</v>
      </c>
      <c r="G11" s="14">
        <f t="shared" ref="G11:G12" si="6">F11*E11</f>
        <v>0</v>
      </c>
      <c r="H11" s="15">
        <v>0.23499999999999999</v>
      </c>
      <c r="I11" s="14">
        <f t="shared" ref="I11:I12" si="7">(G11*H11)+(21138*E11)</f>
        <v>0</v>
      </c>
      <c r="J11" s="14">
        <f t="shared" si="5"/>
        <v>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25">
      <c r="A12" s="183" t="str">
        <f>Year1!A12</f>
        <v>Other Professionals (**staff benefit rate)</v>
      </c>
      <c r="B12" s="181"/>
      <c r="C12" s="10">
        <f>Year1!C12</f>
        <v>0</v>
      </c>
      <c r="D12" s="25">
        <f t="shared" si="4"/>
        <v>0</v>
      </c>
      <c r="E12" s="15">
        <f>Year1!E12</f>
        <v>0</v>
      </c>
      <c r="F12" s="14">
        <f>Year3!F12*(1+'All Years'!E20)</f>
        <v>0</v>
      </c>
      <c r="G12" s="14">
        <f t="shared" si="6"/>
        <v>0</v>
      </c>
      <c r="H12" s="19">
        <v>0.23499999999999999</v>
      </c>
      <c r="I12" s="14">
        <f t="shared" si="7"/>
        <v>0</v>
      </c>
      <c r="J12" s="14">
        <f t="shared" si="5"/>
        <v>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25">
      <c r="A13" s="187"/>
      <c r="B13" s="181"/>
      <c r="C13" s="26" t="s">
        <v>25</v>
      </c>
      <c r="D13" s="27" t="s">
        <v>26</v>
      </c>
      <c r="E13" s="28" t="s">
        <v>27</v>
      </c>
      <c r="F13" s="29" t="s">
        <v>28</v>
      </c>
      <c r="G13" s="131" t="s">
        <v>29</v>
      </c>
      <c r="H13" s="8" t="s">
        <v>14</v>
      </c>
      <c r="I13" s="8" t="s">
        <v>15</v>
      </c>
      <c r="J13" s="8" t="s">
        <v>16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25">
      <c r="A14" s="183" t="str">
        <f>Year1!A14</f>
        <v>Graduate Students (*student benefit rate)</v>
      </c>
      <c r="B14" s="181"/>
      <c r="C14" s="136">
        <f>Year1!C14</f>
        <v>0</v>
      </c>
      <c r="D14" s="132">
        <f>Year1!D14</f>
        <v>0</v>
      </c>
      <c r="E14" s="132">
        <f>Year1!E14</f>
        <v>0</v>
      </c>
      <c r="F14" s="133">
        <f>Year3!F14*(1+'All Years'!E20)</f>
        <v>0</v>
      </c>
      <c r="G14" s="14">
        <f>F14*E14*D14*C14</f>
        <v>0</v>
      </c>
      <c r="H14" s="15">
        <v>7.0000000000000007E-2</v>
      </c>
      <c r="I14" s="14">
        <f t="shared" ref="I14:I17" si="8">G14*H14</f>
        <v>0</v>
      </c>
      <c r="J14" s="14">
        <f t="shared" ref="J14:J17" si="9">G14+I14</f>
        <v>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5">
      <c r="A15" s="183" t="str">
        <f>Year1!A15</f>
        <v>Undergraduate Students (*student benefit rate)</v>
      </c>
      <c r="B15" s="181"/>
      <c r="C15" s="136" t="str">
        <f>Year1!C15</f>
        <v>1</v>
      </c>
      <c r="D15" s="132">
        <f>Year1!D15</f>
        <v>42</v>
      </c>
      <c r="E15" s="132">
        <f>Year1!E15</f>
        <v>10</v>
      </c>
      <c r="F15" s="133">
        <v>18</v>
      </c>
      <c r="G15" s="14">
        <f>C15*D15*E15*F15</f>
        <v>7560</v>
      </c>
      <c r="H15" s="15">
        <v>7.0000000000000007E-2</v>
      </c>
      <c r="I15" s="14">
        <f t="shared" si="8"/>
        <v>529.20000000000005</v>
      </c>
      <c r="J15" s="14">
        <f t="shared" si="9"/>
        <v>8089.2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25">
      <c r="A16" s="183" t="str">
        <f>Year1!A16</f>
        <v>Administrative/Clerical (**non-Student benefit rate)</v>
      </c>
      <c r="B16" s="181"/>
      <c r="C16" s="136">
        <f>Year1!C16</f>
        <v>0</v>
      </c>
      <c r="D16" s="132">
        <f>Year1!D16</f>
        <v>0</v>
      </c>
      <c r="E16" s="132">
        <f>Year1!E16</f>
        <v>0</v>
      </c>
      <c r="F16" s="133">
        <f>Year3!F16*(1+'All Years'!E20)</f>
        <v>0</v>
      </c>
      <c r="G16" s="14">
        <f t="shared" ref="G16:G17" si="10">F16*E16*D16*C16</f>
        <v>0</v>
      </c>
      <c r="H16" s="15">
        <v>9.5000000000000001E-2</v>
      </c>
      <c r="I16" s="14">
        <f t="shared" si="8"/>
        <v>0</v>
      </c>
      <c r="J16" s="14">
        <f t="shared" si="9"/>
        <v>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5">
      <c r="A17" s="183" t="str">
        <f>Year1!A17</f>
        <v>Other (**non-student benefit rate)</v>
      </c>
      <c r="B17" s="181"/>
      <c r="C17" s="136">
        <f>Year1!C17</f>
        <v>0</v>
      </c>
      <c r="D17" s="132">
        <f>Year1!D17</f>
        <v>0</v>
      </c>
      <c r="E17" s="132">
        <f>Year1!E17</f>
        <v>0</v>
      </c>
      <c r="F17" s="133">
        <f>Year3!F17*(1+'All Years'!E20)</f>
        <v>0</v>
      </c>
      <c r="G17" s="14">
        <f t="shared" si="10"/>
        <v>0</v>
      </c>
      <c r="H17" s="15">
        <v>9.5000000000000001E-2</v>
      </c>
      <c r="I17" s="14">
        <f t="shared" si="8"/>
        <v>0</v>
      </c>
      <c r="J17" s="14">
        <f t="shared" si="9"/>
        <v>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5">
      <c r="A18" s="184" t="s">
        <v>35</v>
      </c>
      <c r="B18" s="185"/>
      <c r="C18" s="185"/>
      <c r="D18" s="185"/>
      <c r="E18" s="185"/>
      <c r="F18" s="186"/>
      <c r="G18" s="18">
        <f>SUM(G10:G17)</f>
        <v>7560</v>
      </c>
      <c r="H18" s="19"/>
      <c r="I18" s="20"/>
      <c r="J18" s="20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5">
      <c r="A19" s="33" t="s">
        <v>36</v>
      </c>
      <c r="B19" s="34"/>
      <c r="C19" s="34"/>
      <c r="D19" s="34"/>
      <c r="E19" s="34"/>
      <c r="F19" s="34"/>
      <c r="G19" s="35"/>
      <c r="H19" s="35"/>
      <c r="I19" s="36"/>
      <c r="J19" s="37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188"/>
      <c r="B20" s="179"/>
      <c r="C20" s="179"/>
      <c r="D20" s="179"/>
      <c r="E20" s="179"/>
      <c r="F20" s="181"/>
      <c r="G20" s="38">
        <f>G8+G18</f>
        <v>104269.34449925</v>
      </c>
      <c r="H20" s="189" t="s">
        <v>37</v>
      </c>
      <c r="I20" s="39">
        <f t="shared" ref="I20:J20" si="11">SUM(I4:I19)</f>
        <v>50206.845957323741</v>
      </c>
      <c r="J20" s="40">
        <f t="shared" si="11"/>
        <v>154476.19045657373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5">
      <c r="A21" s="191" t="s">
        <v>38</v>
      </c>
      <c r="B21" s="179"/>
      <c r="C21" s="179"/>
      <c r="D21" s="179"/>
      <c r="E21" s="179"/>
      <c r="F21" s="181"/>
      <c r="G21" s="9" t="s">
        <v>39</v>
      </c>
      <c r="H21" s="190"/>
      <c r="I21" s="41" t="s">
        <v>40</v>
      </c>
      <c r="J21" s="42" t="s">
        <v>41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.5" customHeight="1" x14ac:dyDescent="0.25">
      <c r="A22" s="43" t="s">
        <v>42</v>
      </c>
      <c r="B22" s="44"/>
      <c r="C22" s="45" t="s">
        <v>43</v>
      </c>
      <c r="D22" s="44"/>
      <c r="E22" s="44"/>
      <c r="F22" s="44"/>
      <c r="G22" s="46"/>
      <c r="H22" s="46"/>
      <c r="I22" s="44"/>
      <c r="J22" s="47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A23" s="48" t="s">
        <v>91</v>
      </c>
      <c r="B23" s="49"/>
      <c r="C23" s="50" t="s">
        <v>45</v>
      </c>
      <c r="D23" s="51"/>
      <c r="E23" s="51"/>
      <c r="F23" s="51"/>
      <c r="G23" s="51"/>
      <c r="H23" s="51"/>
      <c r="I23" s="51"/>
      <c r="J23" s="52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192" t="s">
        <v>46</v>
      </c>
      <c r="B24" s="179"/>
      <c r="C24" s="179"/>
      <c r="D24" s="179"/>
      <c r="E24" s="179"/>
      <c r="F24" s="179"/>
      <c r="G24" s="179"/>
      <c r="H24" s="179"/>
      <c r="I24" s="181"/>
      <c r="J24" s="53">
        <v>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192"/>
      <c r="B25" s="179"/>
      <c r="C25" s="179"/>
      <c r="D25" s="179"/>
      <c r="E25" s="179"/>
      <c r="F25" s="179"/>
      <c r="G25" s="179"/>
      <c r="H25" s="179"/>
      <c r="I25" s="181"/>
      <c r="J25" s="54">
        <v>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192"/>
      <c r="B26" s="179"/>
      <c r="C26" s="179"/>
      <c r="D26" s="179"/>
      <c r="E26" s="179"/>
      <c r="F26" s="179"/>
      <c r="G26" s="179"/>
      <c r="H26" s="179"/>
      <c r="I26" s="181"/>
      <c r="J26" s="55"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192"/>
      <c r="B27" s="179"/>
      <c r="C27" s="179"/>
      <c r="D27" s="179"/>
      <c r="E27" s="179"/>
      <c r="F27" s="179"/>
      <c r="G27" s="179"/>
      <c r="H27" s="179"/>
      <c r="I27" s="181"/>
      <c r="J27" s="55">
        <v>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56"/>
      <c r="B28" s="57"/>
      <c r="C28" s="57"/>
      <c r="D28" s="57"/>
      <c r="E28" s="57"/>
      <c r="F28" s="57"/>
      <c r="G28" s="57"/>
      <c r="H28" s="57"/>
      <c r="I28" s="58" t="s">
        <v>16</v>
      </c>
      <c r="J28" s="59">
        <f>SUM(J24:J27)</f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48" t="s">
        <v>47</v>
      </c>
      <c r="B29" s="51"/>
      <c r="C29" s="51"/>
      <c r="D29" s="51"/>
      <c r="E29" s="51"/>
      <c r="F29" s="51"/>
      <c r="G29" s="51"/>
      <c r="H29" s="51"/>
      <c r="I29" s="51"/>
      <c r="J29" s="52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192" t="s">
        <v>48</v>
      </c>
      <c r="B30" s="179"/>
      <c r="C30" s="179"/>
      <c r="D30" s="179"/>
      <c r="E30" s="179"/>
      <c r="F30" s="179"/>
      <c r="G30" s="179"/>
      <c r="H30" s="179"/>
      <c r="I30" s="181"/>
      <c r="J30" s="60">
        <v>3375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137"/>
      <c r="B31" s="138"/>
      <c r="C31" s="138"/>
      <c r="D31" s="138"/>
      <c r="E31" s="138"/>
      <c r="F31" s="138"/>
      <c r="G31" s="138"/>
      <c r="H31" s="138"/>
      <c r="I31" s="139"/>
      <c r="J31" s="61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137" t="s">
        <v>83</v>
      </c>
      <c r="B32" s="138"/>
      <c r="C32" s="138"/>
      <c r="D32" s="138"/>
      <c r="E32" s="138"/>
      <c r="F32" s="138"/>
      <c r="G32" s="138"/>
      <c r="H32" s="138"/>
      <c r="I32" s="139"/>
      <c r="J32" s="61">
        <f>3045*3</f>
        <v>9135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56"/>
      <c r="B33" s="57"/>
      <c r="C33" s="57"/>
      <c r="D33" s="57"/>
      <c r="E33" s="57"/>
      <c r="F33" s="57"/>
      <c r="G33" s="57"/>
      <c r="H33" s="62"/>
      <c r="I33" s="63" t="s">
        <v>16</v>
      </c>
      <c r="J33" s="59">
        <f>SUM(J30:J32)</f>
        <v>12510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48" t="s">
        <v>77</v>
      </c>
      <c r="B34" s="51"/>
      <c r="C34" s="51"/>
      <c r="D34" s="51"/>
      <c r="E34" s="51"/>
      <c r="F34" s="51"/>
      <c r="G34" s="51"/>
      <c r="H34" s="51"/>
      <c r="I34" s="64"/>
      <c r="J34" s="5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196" t="s">
        <v>51</v>
      </c>
      <c r="B35" s="185"/>
      <c r="C35" s="185"/>
      <c r="D35" s="185"/>
      <c r="E35" s="185"/>
      <c r="F35" s="185"/>
      <c r="G35" s="185"/>
      <c r="H35" s="186"/>
      <c r="I35" s="65"/>
      <c r="J35" s="60">
        <v>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192" t="s">
        <v>52</v>
      </c>
      <c r="B36" s="179"/>
      <c r="C36" s="179"/>
      <c r="D36" s="179"/>
      <c r="E36" s="179"/>
      <c r="F36" s="179"/>
      <c r="G36" s="179"/>
      <c r="H36" s="179"/>
      <c r="I36" s="181"/>
      <c r="J36" s="37">
        <v>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192" t="s">
        <v>53</v>
      </c>
      <c r="B37" s="179"/>
      <c r="C37" s="179"/>
      <c r="D37" s="179"/>
      <c r="E37" s="179"/>
      <c r="F37" s="179"/>
      <c r="G37" s="179"/>
      <c r="H37" s="179"/>
      <c r="I37" s="181"/>
      <c r="J37" s="37">
        <v>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192" t="s">
        <v>54</v>
      </c>
      <c r="B38" s="179"/>
      <c r="C38" s="179"/>
      <c r="D38" s="179"/>
      <c r="E38" s="179"/>
      <c r="F38" s="179"/>
      <c r="G38" s="179"/>
      <c r="H38" s="179"/>
      <c r="I38" s="181"/>
      <c r="J38" s="61">
        <v>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192" t="s">
        <v>55</v>
      </c>
      <c r="B39" s="179"/>
      <c r="C39" s="179"/>
      <c r="D39" s="179"/>
      <c r="E39" s="179"/>
      <c r="F39" s="179"/>
      <c r="G39" s="179"/>
      <c r="H39" s="179"/>
      <c r="I39" s="181"/>
      <c r="J39" s="66">
        <v>10000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67"/>
      <c r="B40" s="68"/>
      <c r="C40" s="68"/>
      <c r="D40" s="68"/>
      <c r="E40" s="68"/>
      <c r="F40" s="68"/>
      <c r="G40" s="68"/>
      <c r="H40" s="69"/>
      <c r="I40" s="63" t="s">
        <v>16</v>
      </c>
      <c r="J40" s="70">
        <f>SUM(J35:J39)</f>
        <v>10000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48" t="s">
        <v>56</v>
      </c>
      <c r="B41" s="51"/>
      <c r="C41" s="51"/>
      <c r="D41" s="51"/>
      <c r="E41" s="51"/>
      <c r="F41" s="51"/>
      <c r="G41" s="51"/>
      <c r="H41" s="51"/>
      <c r="I41" s="51"/>
      <c r="J41" s="52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192" t="s">
        <v>57</v>
      </c>
      <c r="B42" s="179"/>
      <c r="C42" s="179"/>
      <c r="D42" s="179"/>
      <c r="E42" s="179"/>
      <c r="F42" s="179"/>
      <c r="G42" s="179"/>
      <c r="H42" s="179"/>
      <c r="I42" s="181"/>
      <c r="J42" s="60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192" t="s">
        <v>58</v>
      </c>
      <c r="B43" s="179"/>
      <c r="C43" s="179"/>
      <c r="D43" s="179"/>
      <c r="E43" s="179"/>
      <c r="F43" s="179"/>
      <c r="G43" s="179"/>
      <c r="H43" s="179"/>
      <c r="I43" s="181"/>
      <c r="J43" s="37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192" t="s">
        <v>59</v>
      </c>
      <c r="B44" s="179"/>
      <c r="C44" s="179"/>
      <c r="D44" s="179"/>
      <c r="E44" s="179"/>
      <c r="F44" s="179"/>
      <c r="G44" s="179"/>
      <c r="H44" s="179"/>
      <c r="I44" s="181"/>
      <c r="J44" s="37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192" t="s">
        <v>60</v>
      </c>
      <c r="B45" s="179"/>
      <c r="C45" s="179"/>
      <c r="D45" s="179"/>
      <c r="E45" s="179"/>
      <c r="F45" s="179"/>
      <c r="G45" s="179"/>
      <c r="H45" s="179"/>
      <c r="I45" s="181"/>
      <c r="J45" s="37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192"/>
      <c r="B46" s="179"/>
      <c r="C46" s="179"/>
      <c r="D46" s="179"/>
      <c r="E46" s="179"/>
      <c r="F46" s="179"/>
      <c r="G46" s="179"/>
      <c r="H46" s="179"/>
      <c r="I46" s="181"/>
      <c r="J46" s="37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67" t="s">
        <v>92</v>
      </c>
      <c r="B47" s="71"/>
      <c r="C47" s="71"/>
      <c r="D47" s="71"/>
      <c r="E47" s="71"/>
      <c r="F47" s="71"/>
      <c r="G47" s="71"/>
      <c r="H47" s="72"/>
      <c r="I47" s="73" t="s">
        <v>62</v>
      </c>
      <c r="J47" s="74">
        <f>SUM(G48:G50)</f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75" t="s">
        <v>63</v>
      </c>
      <c r="B48" s="76" t="s">
        <v>64</v>
      </c>
      <c r="C48" s="77"/>
      <c r="D48" s="77"/>
      <c r="E48" s="77"/>
      <c r="F48" s="78"/>
      <c r="G48" s="79">
        <v>0</v>
      </c>
      <c r="H48" s="80"/>
      <c r="I48" s="81"/>
      <c r="J48" s="61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82" t="s">
        <v>65</v>
      </c>
      <c r="B49" s="76" t="s">
        <v>64</v>
      </c>
      <c r="C49" s="77"/>
      <c r="D49" s="77"/>
      <c r="E49" s="77"/>
      <c r="F49" s="78"/>
      <c r="G49" s="79">
        <v>0</v>
      </c>
      <c r="H49" s="83"/>
      <c r="I49" s="81"/>
      <c r="J49" s="61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84" t="s">
        <v>66</v>
      </c>
      <c r="B50" s="85" t="s">
        <v>64</v>
      </c>
      <c r="C50" s="86"/>
      <c r="D50" s="86"/>
      <c r="E50" s="86"/>
      <c r="F50" s="87"/>
      <c r="G50" s="88">
        <v>0</v>
      </c>
      <c r="H50" s="89"/>
      <c r="I50" s="90"/>
      <c r="J50" s="37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193"/>
      <c r="B51" s="194"/>
      <c r="C51" s="194"/>
      <c r="D51" s="194"/>
      <c r="E51" s="194"/>
      <c r="F51" s="194"/>
      <c r="G51" s="194"/>
      <c r="H51" s="195"/>
      <c r="I51" s="63" t="s">
        <v>16</v>
      </c>
      <c r="J51" s="91">
        <f>SUM(J42:J50)</f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customHeight="1" x14ac:dyDescent="0.25">
      <c r="A52" s="92" t="str">
        <f>Year1!A52</f>
        <v>H. Total Direct Costs (A-G)</v>
      </c>
      <c r="B52" s="93"/>
      <c r="C52" s="93"/>
      <c r="D52" s="93"/>
      <c r="E52" s="93"/>
      <c r="F52" s="93"/>
      <c r="G52" s="93"/>
      <c r="H52" s="94"/>
      <c r="I52" s="95"/>
      <c r="J52" s="96">
        <f>SUM(J51+J39+J33+J28+J20)</f>
        <v>176986.19045657373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97"/>
      <c r="B53" s="98"/>
      <c r="C53" s="98"/>
      <c r="D53" s="98"/>
      <c r="E53" s="99" t="s">
        <v>68</v>
      </c>
      <c r="F53" s="100"/>
      <c r="G53" s="101" t="s">
        <v>69</v>
      </c>
      <c r="H53" s="102"/>
      <c r="I53" s="103"/>
      <c r="J53" s="104"/>
      <c r="K53" s="5"/>
      <c r="L53" s="10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106" t="str">
        <f>Year1!A54</f>
        <v xml:space="preserve">I. Indirect Costs </v>
      </c>
      <c r="B54" s="106"/>
      <c r="C54" s="134" t="str">
        <f>Year1!C54</f>
        <v>(Salaries, Wages, Fringe Benefits)</v>
      </c>
      <c r="D54" s="106"/>
      <c r="E54" s="108">
        <f>J20</f>
        <v>154476.19045657373</v>
      </c>
      <c r="F54" s="109"/>
      <c r="G54" s="110">
        <v>0.45</v>
      </c>
      <c r="H54" s="102"/>
      <c r="I54" s="103"/>
      <c r="J54" s="111">
        <f>E54*G54</f>
        <v>69514.285705458184</v>
      </c>
      <c r="K54" s="11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113"/>
      <c r="B55" s="114"/>
      <c r="C55" s="114"/>
      <c r="D55" s="114"/>
      <c r="E55" s="115"/>
      <c r="F55" s="116"/>
      <c r="G55" s="117"/>
      <c r="H55" s="102"/>
      <c r="I55" s="103"/>
      <c r="J55" s="100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" customHeight="1" x14ac:dyDescent="0.25">
      <c r="A56" s="118" t="str">
        <f>Year1!A56</f>
        <v>J. Total Amount Requested (H + I)</v>
      </c>
      <c r="B56" s="119"/>
      <c r="C56" s="119"/>
      <c r="D56" s="119"/>
      <c r="E56" s="119"/>
      <c r="F56" s="119"/>
      <c r="G56" s="119"/>
      <c r="H56" s="120"/>
      <c r="I56" s="121" t="s">
        <v>89</v>
      </c>
      <c r="J56" s="122">
        <f>SUM(J52:J54)</f>
        <v>246500.47616203193</v>
      </c>
      <c r="K56" s="12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7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125" t="s">
        <v>74</v>
      </c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13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/>
    <row r="261" spans="1:26" ht="15.75" customHeight="1" x14ac:dyDescent="0.25"/>
    <row r="262" spans="1:26" ht="15.75" customHeight="1" x14ac:dyDescent="0.25"/>
    <row r="263" spans="1:26" ht="15.75" customHeight="1" x14ac:dyDescent="0.25"/>
    <row r="264" spans="1:26" ht="15.75" customHeight="1" x14ac:dyDescent="0.25"/>
    <row r="265" spans="1:26" ht="15.75" customHeight="1" x14ac:dyDescent="0.25"/>
    <row r="266" spans="1:26" ht="15.75" customHeight="1" x14ac:dyDescent="0.25"/>
    <row r="267" spans="1:26" ht="15.75" customHeight="1" x14ac:dyDescent="0.25"/>
    <row r="268" spans="1:26" ht="15.75" customHeight="1" x14ac:dyDescent="0.25"/>
    <row r="269" spans="1:26" ht="15.75" customHeight="1" x14ac:dyDescent="0.25"/>
    <row r="270" spans="1:26" ht="15.75" customHeight="1" x14ac:dyDescent="0.25"/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A44:I44"/>
    <mergeCell ref="A45:I45"/>
    <mergeCell ref="A46:I46"/>
    <mergeCell ref="A51:H51"/>
    <mergeCell ref="A25:I25"/>
    <mergeCell ref="A26:I26"/>
    <mergeCell ref="A27:I27"/>
    <mergeCell ref="A30:I30"/>
    <mergeCell ref="A35:H35"/>
    <mergeCell ref="A36:I36"/>
    <mergeCell ref="A37:I37"/>
    <mergeCell ref="A24:I24"/>
    <mergeCell ref="A38:I38"/>
    <mergeCell ref="A39:I39"/>
    <mergeCell ref="A42:I42"/>
    <mergeCell ref="A43:I43"/>
    <mergeCell ref="A17:B17"/>
    <mergeCell ref="A18:F18"/>
    <mergeCell ref="A20:F20"/>
    <mergeCell ref="H20:H21"/>
    <mergeCell ref="A21:F21"/>
    <mergeCell ref="A12:B12"/>
    <mergeCell ref="A13:B13"/>
    <mergeCell ref="A14:B14"/>
    <mergeCell ref="A15:B15"/>
    <mergeCell ref="A16:B16"/>
    <mergeCell ref="A6:B6"/>
    <mergeCell ref="A8:F8"/>
    <mergeCell ref="A7:B7"/>
    <mergeCell ref="A10:B10"/>
    <mergeCell ref="A11:B11"/>
    <mergeCell ref="A1:B1"/>
    <mergeCell ref="C1:E1"/>
    <mergeCell ref="B2:I2"/>
    <mergeCell ref="A4:B4"/>
    <mergeCell ref="A5:B5"/>
  </mergeCells>
  <conditionalFormatting sqref="D5:H6 J5:J6 D7:J7 D10:J12 C14:J17">
    <cfRule type="cellIs" dxfId="5" priority="2" operator="equal">
      <formula>0</formula>
    </cfRule>
  </conditionalFormatting>
  <conditionalFormatting sqref="G5:G6">
    <cfRule type="cellIs" dxfId="4" priority="1" operator="equal">
      <formula>0</formula>
    </cfRule>
  </conditionalFormatting>
  <conditionalFormatting sqref="I4:I6">
    <cfRule type="cellIs" dxfId="3" priority="6" operator="equal">
      <formula>0</formula>
    </cfRule>
  </conditionalFormatting>
  <conditionalFormatting sqref="J24:J27 J42:J46 J48:J50">
    <cfRule type="cellIs" dxfId="2" priority="3" operator="equal">
      <formula>0</formula>
    </cfRule>
  </conditionalFormatting>
  <conditionalFormatting sqref="J30:J32">
    <cfRule type="cellIs" dxfId="1" priority="4" operator="equal">
      <formula>0</formula>
    </cfRule>
  </conditionalFormatting>
  <conditionalFormatting sqref="J35:J39">
    <cfRule type="cellIs" dxfId="0" priority="5" operator="equal">
      <formula>0</formula>
    </cfRule>
  </conditionalFormatting>
  <printOptions horizontalCentered="1" gridLines="1"/>
  <pageMargins left="0.25" right="0.25" top="0.75" bottom="0.75" header="0" footer="0"/>
  <pageSetup orientation="landscape"/>
  <headerFooter>
    <oddHeader>&amp;LYear 3&amp;CSummary Proposal Budget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000"/>
  <sheetViews>
    <sheetView workbookViewId="0">
      <selection activeCell="G10" sqref="G10"/>
    </sheetView>
  </sheetViews>
  <sheetFormatPr defaultColWidth="12.6640625" defaultRowHeight="15" customHeight="1" x14ac:dyDescent="0.25"/>
  <cols>
    <col min="1" max="1" width="35" customWidth="1"/>
    <col min="2" max="8" width="18.6640625" customWidth="1"/>
    <col min="9" max="28" width="14.44140625" customWidth="1"/>
  </cols>
  <sheetData>
    <row r="1" spans="1:28" ht="18" customHeight="1" x14ac:dyDescent="0.25">
      <c r="A1" s="140" t="s">
        <v>93</v>
      </c>
      <c r="B1" s="141" t="s">
        <v>4</v>
      </c>
      <c r="C1" s="142" t="s">
        <v>75</v>
      </c>
      <c r="D1" s="142" t="s">
        <v>80</v>
      </c>
      <c r="E1" s="142" t="s">
        <v>86</v>
      </c>
      <c r="F1" s="142" t="s">
        <v>90</v>
      </c>
      <c r="G1" s="142" t="s">
        <v>94</v>
      </c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</row>
    <row r="2" spans="1:28" ht="18" customHeight="1" x14ac:dyDescent="0.25">
      <c r="A2" s="144" t="str">
        <f>Year1!A3</f>
        <v>A. Senior Personnel</v>
      </c>
      <c r="B2" s="54">
        <f>Year1!G8</f>
        <v>77300</v>
      </c>
      <c r="C2" s="54">
        <f>Year2!G8</f>
        <v>79619</v>
      </c>
      <c r="D2" s="145">
        <f>Year3!G8</f>
        <v>91157.83249999999</v>
      </c>
      <c r="E2" s="145">
        <f>Year4!G8</f>
        <v>93892.567474999989</v>
      </c>
      <c r="F2" s="145">
        <f>'Year 5'!G8</f>
        <v>96709.344499250001</v>
      </c>
      <c r="G2" s="145">
        <f t="shared" ref="G2:G3" si="0">SUM(B2:F2)</f>
        <v>438678.74447424995</v>
      </c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</row>
    <row r="3" spans="1:28" ht="18" customHeight="1" x14ac:dyDescent="0.25">
      <c r="A3" s="144" t="str">
        <f>Year1!A9</f>
        <v>B. Other Personnel</v>
      </c>
      <c r="B3" s="54">
        <f>Year1!G18</f>
        <v>5880</v>
      </c>
      <c r="C3" s="54">
        <f>Year2!G18</f>
        <v>6300</v>
      </c>
      <c r="D3" s="145">
        <f>Year3!G18</f>
        <v>6720</v>
      </c>
      <c r="E3" s="145">
        <f>Year4!G18</f>
        <v>7140</v>
      </c>
      <c r="F3" s="145">
        <f>'Year 5'!G18</f>
        <v>7560</v>
      </c>
      <c r="G3" s="145">
        <f t="shared" si="0"/>
        <v>33600</v>
      </c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</row>
    <row r="4" spans="1:28" ht="18" customHeight="1" x14ac:dyDescent="0.25">
      <c r="A4" s="147" t="s">
        <v>95</v>
      </c>
      <c r="B4" s="148">
        <f t="shared" ref="B4:G4" si="1">SUM(B2:B3)</f>
        <v>83180</v>
      </c>
      <c r="C4" s="148">
        <f t="shared" si="1"/>
        <v>85919</v>
      </c>
      <c r="D4" s="148">
        <f t="shared" si="1"/>
        <v>97877.83249999999</v>
      </c>
      <c r="E4" s="148">
        <f t="shared" si="1"/>
        <v>101032.56747499999</v>
      </c>
      <c r="F4" s="148">
        <f t="shared" si="1"/>
        <v>104269.34449925</v>
      </c>
      <c r="G4" s="148">
        <f t="shared" si="1"/>
        <v>472278.74447424995</v>
      </c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</row>
    <row r="5" spans="1:28" ht="18" customHeight="1" x14ac:dyDescent="0.25">
      <c r="A5" s="144" t="str">
        <f>Year1!A19</f>
        <v>C. Fringe Benefits</v>
      </c>
      <c r="B5" s="54">
        <f>Year1!I20</f>
        <v>43942.7</v>
      </c>
      <c r="C5" s="54">
        <f>Year2!I20</f>
        <v>44517.065000000002</v>
      </c>
      <c r="D5" s="145">
        <f>Year3!I20</f>
        <v>48843.440637500004</v>
      </c>
      <c r="E5" s="145">
        <f>Year4!I20</f>
        <v>49515.503356625006</v>
      </c>
      <c r="F5" s="145">
        <f>'Year 5'!I20</f>
        <v>50206.845957323741</v>
      </c>
      <c r="G5" s="145">
        <f>SUM(B5:F5)</f>
        <v>237025.55495144875</v>
      </c>
      <c r="H5" s="149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</row>
    <row r="6" spans="1:28" ht="18" customHeight="1" x14ac:dyDescent="0.25">
      <c r="A6" s="147" t="s">
        <v>96</v>
      </c>
      <c r="B6" s="150">
        <f t="shared" ref="B6:G6" si="2">B4+B5</f>
        <v>127122.7</v>
      </c>
      <c r="C6" s="150">
        <f t="shared" si="2"/>
        <v>130436.065</v>
      </c>
      <c r="D6" s="150">
        <f t="shared" si="2"/>
        <v>146721.27313749999</v>
      </c>
      <c r="E6" s="150">
        <f t="shared" si="2"/>
        <v>150548.07083162499</v>
      </c>
      <c r="F6" s="150">
        <f t="shared" si="2"/>
        <v>154476.19045657373</v>
      </c>
      <c r="G6" s="150">
        <f t="shared" si="2"/>
        <v>709304.2994256987</v>
      </c>
      <c r="H6" s="149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</row>
    <row r="7" spans="1:28" ht="18" customHeight="1" x14ac:dyDescent="0.25">
      <c r="A7" s="140" t="s">
        <v>97</v>
      </c>
      <c r="B7" s="151"/>
      <c r="C7" s="151"/>
      <c r="D7" s="40"/>
      <c r="E7" s="40"/>
      <c r="F7" s="40"/>
      <c r="G7" s="40"/>
      <c r="H7" s="149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</row>
    <row r="8" spans="1:28" ht="18" customHeight="1" x14ac:dyDescent="0.25">
      <c r="A8" s="144" t="str">
        <f>Year1!A23</f>
        <v xml:space="preserve">D. Equipment                                          </v>
      </c>
      <c r="B8" s="55">
        <f>Year1!J28</f>
        <v>0</v>
      </c>
      <c r="C8" s="55">
        <f>Year2!J28</f>
        <v>0</v>
      </c>
      <c r="D8" s="152">
        <f>Year3!J28</f>
        <v>0</v>
      </c>
      <c r="E8" s="152">
        <f>Year4!J28</f>
        <v>0</v>
      </c>
      <c r="F8" s="152">
        <f>'Year 5'!J24</f>
        <v>0</v>
      </c>
      <c r="G8" s="152">
        <f t="shared" ref="G8:G13" si="3">SUM(B8:F8)</f>
        <v>0</v>
      </c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</row>
    <row r="9" spans="1:28" ht="18" customHeight="1" x14ac:dyDescent="0.25">
      <c r="A9" s="153" t="str">
        <f>Year1!A29</f>
        <v>E. Travel</v>
      </c>
      <c r="B9" s="154">
        <f>Year1!J33</f>
        <v>8375</v>
      </c>
      <c r="C9" s="154">
        <f>Year2!J33</f>
        <v>8375</v>
      </c>
      <c r="D9" s="154">
        <f>Year3!J33</f>
        <v>15010</v>
      </c>
      <c r="E9" s="154">
        <f>Year4!J33</f>
        <v>15010</v>
      </c>
      <c r="F9" s="154">
        <f>'Year 5'!J33</f>
        <v>12510</v>
      </c>
      <c r="G9" s="152">
        <f t="shared" si="3"/>
        <v>59280</v>
      </c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</row>
    <row r="10" spans="1:28" ht="18" customHeight="1" x14ac:dyDescent="0.25">
      <c r="A10" s="144" t="str">
        <f>Year1!A34</f>
        <v>F. Participant Support Costs</v>
      </c>
      <c r="B10" s="53">
        <f>Year1!J40</f>
        <v>10000</v>
      </c>
      <c r="C10" s="53">
        <f>Year2!J40</f>
        <v>10000</v>
      </c>
      <c r="D10" s="155">
        <f>Year3!J40</f>
        <v>10000</v>
      </c>
      <c r="E10" s="156">
        <f>Year4!J40</f>
        <v>10000</v>
      </c>
      <c r="F10" s="156">
        <f>'Year 5'!J39</f>
        <v>10000</v>
      </c>
      <c r="G10" s="152">
        <f t="shared" si="3"/>
        <v>50000</v>
      </c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</row>
    <row r="11" spans="1:28" ht="18" customHeight="1" x14ac:dyDescent="0.25">
      <c r="A11" s="144" t="str">
        <f>Year1!A41</f>
        <v>G. Other Direct Costs</v>
      </c>
      <c r="B11" s="54">
        <f>Year1!J51</f>
        <v>5000</v>
      </c>
      <c r="C11" s="54">
        <f>Year2!J51</f>
        <v>0</v>
      </c>
      <c r="D11" s="145">
        <f>Year3!J51</f>
        <v>0</v>
      </c>
      <c r="E11" s="152">
        <f>Year4!J51</f>
        <v>0</v>
      </c>
      <c r="F11" s="152">
        <f>'Year 5'!J51</f>
        <v>0</v>
      </c>
      <c r="G11" s="152">
        <f t="shared" si="3"/>
        <v>5000</v>
      </c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</row>
    <row r="12" spans="1:28" ht="18" customHeight="1" x14ac:dyDescent="0.25">
      <c r="A12" s="147" t="str">
        <f>Year1!A52</f>
        <v>H. Total Direct Costs (A-G)</v>
      </c>
      <c r="B12" s="148">
        <f>Year1!J52</f>
        <v>150497.70000000001</v>
      </c>
      <c r="C12" s="148">
        <f>Year2!J52</f>
        <v>148811.065</v>
      </c>
      <c r="D12" s="157">
        <f>Year3!J52</f>
        <v>171731.27313750001</v>
      </c>
      <c r="E12" s="157">
        <f>Year4!J52</f>
        <v>175558.07083162499</v>
      </c>
      <c r="F12" s="157">
        <f>'Year 5'!J52</f>
        <v>176986.19045657373</v>
      </c>
      <c r="G12" s="157">
        <f t="shared" si="3"/>
        <v>823584.29942569882</v>
      </c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</row>
    <row r="13" spans="1:28" ht="18" customHeight="1" x14ac:dyDescent="0.25">
      <c r="A13" s="144" t="str">
        <f>Year1!A54</f>
        <v xml:space="preserve">I. Indirect Costs </v>
      </c>
      <c r="B13" s="55">
        <f>Year1!J54</f>
        <v>57205.215000000004</v>
      </c>
      <c r="C13" s="55">
        <f>Year2!J54</f>
        <v>58696.229250000004</v>
      </c>
      <c r="D13" s="152">
        <f>Year3!J54</f>
        <v>66024.572911875002</v>
      </c>
      <c r="E13" s="152">
        <f>Year4!J54</f>
        <v>67746.631874231243</v>
      </c>
      <c r="F13" s="152">
        <f>'Year 5'!J54</f>
        <v>69514.285705458184</v>
      </c>
      <c r="G13" s="152">
        <f t="shared" si="3"/>
        <v>319186.93474156444</v>
      </c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</row>
    <row r="14" spans="1:28" ht="18" customHeight="1" x14ac:dyDescent="0.25">
      <c r="A14" s="140" t="str">
        <f>Year1!A56</f>
        <v>J. Total Amount Requested (H + I)</v>
      </c>
      <c r="B14" s="158">
        <f t="shared" ref="B14:G14" si="4">SUM(B12:B13)</f>
        <v>207702.91500000001</v>
      </c>
      <c r="C14" s="158">
        <f t="shared" si="4"/>
        <v>207507.29425000001</v>
      </c>
      <c r="D14" s="158">
        <f t="shared" si="4"/>
        <v>237755.84604937502</v>
      </c>
      <c r="E14" s="158">
        <f t="shared" si="4"/>
        <v>243304.70270585624</v>
      </c>
      <c r="F14" s="158">
        <f t="shared" si="4"/>
        <v>246500.47616203193</v>
      </c>
      <c r="G14" s="159">
        <f t="shared" si="4"/>
        <v>1142771.2341672634</v>
      </c>
      <c r="H14" s="160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</row>
    <row r="15" spans="1:28" ht="18" customHeight="1" x14ac:dyDescent="0.25">
      <c r="A15" s="161"/>
      <c r="B15" s="146"/>
      <c r="C15" s="146"/>
      <c r="D15" s="162"/>
      <c r="E15" s="162"/>
      <c r="F15" s="162"/>
      <c r="G15" s="162"/>
      <c r="H15" s="163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</row>
    <row r="16" spans="1:28" ht="18" customHeight="1" x14ac:dyDescent="0.25">
      <c r="A16" s="161"/>
      <c r="B16" s="146"/>
      <c r="C16" s="146"/>
      <c r="D16" s="162"/>
      <c r="E16" s="162"/>
      <c r="F16" s="162"/>
      <c r="G16" s="162"/>
      <c r="H16" s="164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</row>
    <row r="17" spans="1:28" ht="12" customHeight="1" x14ac:dyDescent="0.25">
      <c r="A17" s="161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</row>
    <row r="18" spans="1:28" ht="12" customHeight="1" x14ac:dyDescent="0.25">
      <c r="A18" s="161"/>
      <c r="B18" s="165">
        <v>1</v>
      </c>
      <c r="C18" s="165">
        <v>1</v>
      </c>
      <c r="D18" s="166">
        <v>1</v>
      </c>
      <c r="E18" s="166">
        <v>1</v>
      </c>
      <c r="F18" s="166">
        <v>1</v>
      </c>
      <c r="G18" s="166">
        <v>1</v>
      </c>
      <c r="H18" s="201"/>
      <c r="I18" s="202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</row>
    <row r="19" spans="1:28" ht="12" customHeight="1" x14ac:dyDescent="0.25">
      <c r="A19" s="161"/>
      <c r="B19" s="165" t="s">
        <v>98</v>
      </c>
      <c r="C19" s="165" t="s">
        <v>98</v>
      </c>
      <c r="D19" s="165" t="s">
        <v>98</v>
      </c>
      <c r="E19" s="165" t="s">
        <v>98</v>
      </c>
      <c r="F19" s="165" t="s">
        <v>98</v>
      </c>
      <c r="G19" s="165" t="s">
        <v>98</v>
      </c>
      <c r="H19" s="167"/>
      <c r="I19" s="168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</row>
    <row r="20" spans="1:28" ht="12" customHeight="1" x14ac:dyDescent="0.25">
      <c r="A20" s="161"/>
      <c r="B20" s="169"/>
      <c r="C20" s="169">
        <v>0.03</v>
      </c>
      <c r="D20" s="170">
        <v>0.03</v>
      </c>
      <c r="E20" s="170">
        <v>0.03</v>
      </c>
      <c r="F20" s="170">
        <v>0.03</v>
      </c>
      <c r="G20" s="170">
        <v>0.03</v>
      </c>
      <c r="H20" s="167"/>
      <c r="I20" s="168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</row>
    <row r="21" spans="1:28" ht="12" customHeight="1" x14ac:dyDescent="0.25">
      <c r="A21" s="161"/>
      <c r="B21" s="171">
        <f>Year1!G1</f>
        <v>45474</v>
      </c>
      <c r="C21" s="171">
        <f>Year2!G1</f>
        <v>45839</v>
      </c>
      <c r="D21" s="172">
        <f>Year3!G1</f>
        <v>46204</v>
      </c>
      <c r="E21" s="172">
        <f>Year4!G1</f>
        <v>46569</v>
      </c>
      <c r="F21" s="172">
        <f>'Year 5'!G1</f>
        <v>46935</v>
      </c>
      <c r="G21" s="172"/>
      <c r="H21" s="173"/>
      <c r="I21" s="174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</row>
    <row r="22" spans="1:28" ht="12" customHeight="1" x14ac:dyDescent="0.25">
      <c r="A22" s="161"/>
      <c r="B22" s="171">
        <f>Year1!I1</f>
        <v>45838</v>
      </c>
      <c r="C22" s="171">
        <f>Year2!I1</f>
        <v>46203</v>
      </c>
      <c r="D22" s="172">
        <f>Year3!I1</f>
        <v>46568</v>
      </c>
      <c r="E22" s="172">
        <f>Year4!I1</f>
        <v>46934</v>
      </c>
      <c r="F22" s="172">
        <f>'Year 5'!I1</f>
        <v>47299</v>
      </c>
      <c r="G22" s="172"/>
      <c r="H22" s="173"/>
      <c r="I22" s="174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</row>
    <row r="23" spans="1:28" ht="12" customHeight="1" x14ac:dyDescent="0.25">
      <c r="A23" s="161"/>
      <c r="B23" s="146"/>
      <c r="C23" s="146"/>
      <c r="D23" s="146"/>
      <c r="E23" s="146"/>
      <c r="F23" s="146"/>
      <c r="G23" s="175"/>
      <c r="H23" s="173"/>
      <c r="I23" s="174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</row>
    <row r="24" spans="1:28" ht="12" customHeight="1" x14ac:dyDescent="0.25">
      <c r="A24" s="161"/>
      <c r="B24" s="146"/>
      <c r="C24" s="146"/>
      <c r="D24" s="146"/>
      <c r="E24" s="146"/>
      <c r="F24" s="146"/>
      <c r="G24" s="175"/>
      <c r="H24" s="173"/>
      <c r="I24" s="174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</row>
    <row r="25" spans="1:28" ht="12" customHeight="1" x14ac:dyDescent="0.25">
      <c r="A25" s="125" t="s">
        <v>74</v>
      </c>
      <c r="B25" s="146"/>
      <c r="C25" s="146"/>
      <c r="D25" s="146"/>
      <c r="E25" s="146"/>
      <c r="F25" s="146"/>
      <c r="G25" s="175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</row>
    <row r="26" spans="1:28" ht="12" customHeight="1" x14ac:dyDescent="0.25">
      <c r="A26" s="161"/>
      <c r="B26" s="146"/>
      <c r="C26" s="146"/>
      <c r="D26" s="146"/>
      <c r="E26" s="146"/>
      <c r="F26" s="146"/>
      <c r="G26" s="175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</row>
    <row r="27" spans="1:28" ht="12" customHeight="1" x14ac:dyDescent="0.25">
      <c r="A27" s="161"/>
      <c r="B27" s="146"/>
      <c r="C27" s="146"/>
      <c r="D27" s="146"/>
      <c r="E27" s="146"/>
      <c r="F27" s="146"/>
      <c r="G27" s="175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</row>
    <row r="28" spans="1:28" ht="12" customHeight="1" x14ac:dyDescent="0.25">
      <c r="A28" s="161"/>
      <c r="B28" s="146"/>
      <c r="C28" s="146"/>
      <c r="D28" s="146"/>
      <c r="E28" s="146"/>
      <c r="F28" s="146"/>
      <c r="G28" s="175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</row>
    <row r="29" spans="1:28" ht="12" customHeight="1" x14ac:dyDescent="0.25">
      <c r="A29" s="161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</row>
    <row r="30" spans="1:28" ht="12" customHeight="1" x14ac:dyDescent="0.25">
      <c r="A30" s="161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</row>
    <row r="31" spans="1:28" ht="12" customHeight="1" x14ac:dyDescent="0.25">
      <c r="A31" s="161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</row>
    <row r="32" spans="1:28" ht="12" customHeight="1" x14ac:dyDescent="0.25">
      <c r="A32" s="161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</row>
    <row r="33" spans="1:28" ht="12" customHeight="1" x14ac:dyDescent="0.25">
      <c r="A33" s="161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</row>
    <row r="34" spans="1:28" ht="12" customHeight="1" x14ac:dyDescent="0.25">
      <c r="A34" s="161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</row>
    <row r="35" spans="1:28" ht="12" customHeight="1" x14ac:dyDescent="0.25">
      <c r="A35" s="161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</row>
    <row r="36" spans="1:28" ht="12" customHeight="1" x14ac:dyDescent="0.25">
      <c r="A36" s="161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</row>
    <row r="37" spans="1:28" ht="12" customHeight="1" x14ac:dyDescent="0.25">
      <c r="A37" s="161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</row>
    <row r="38" spans="1:28" ht="12" customHeight="1" x14ac:dyDescent="0.25">
      <c r="A38" s="161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</row>
    <row r="39" spans="1:28" ht="12" customHeight="1" x14ac:dyDescent="0.25">
      <c r="A39" s="161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</row>
    <row r="40" spans="1:28" ht="12" customHeight="1" x14ac:dyDescent="0.25">
      <c r="A40" s="161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</row>
    <row r="41" spans="1:28" ht="12" customHeight="1" x14ac:dyDescent="0.25">
      <c r="A41" s="161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</row>
    <row r="42" spans="1:28" ht="12" customHeight="1" x14ac:dyDescent="0.25">
      <c r="A42" s="161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</row>
    <row r="43" spans="1:28" ht="12" customHeight="1" x14ac:dyDescent="0.25">
      <c r="A43" s="161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</row>
    <row r="44" spans="1:28" ht="12" customHeight="1" x14ac:dyDescent="0.25">
      <c r="A44" s="161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</row>
    <row r="45" spans="1:28" ht="12" customHeight="1" x14ac:dyDescent="0.25">
      <c r="A45" s="161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</row>
    <row r="46" spans="1:28" ht="12" customHeight="1" x14ac:dyDescent="0.25">
      <c r="A46" s="161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</row>
    <row r="47" spans="1:28" ht="12" customHeight="1" x14ac:dyDescent="0.25">
      <c r="A47" s="161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</row>
    <row r="48" spans="1:28" ht="12" customHeight="1" x14ac:dyDescent="0.25">
      <c r="A48" s="161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</row>
    <row r="49" spans="1:28" ht="12" customHeight="1" x14ac:dyDescent="0.25">
      <c r="A49" s="161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</row>
    <row r="50" spans="1:28" ht="12" customHeight="1" x14ac:dyDescent="0.25">
      <c r="A50" s="161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</row>
    <row r="51" spans="1:28" ht="12" customHeight="1" x14ac:dyDescent="0.25">
      <c r="A51" s="161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</row>
    <row r="52" spans="1:28" ht="12" customHeight="1" x14ac:dyDescent="0.25">
      <c r="A52" s="161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</row>
    <row r="53" spans="1:28" ht="12" customHeight="1" x14ac:dyDescent="0.25">
      <c r="A53" s="161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</row>
    <row r="54" spans="1:28" ht="12" customHeight="1" x14ac:dyDescent="0.25">
      <c r="A54" s="161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</row>
    <row r="55" spans="1:28" ht="12" customHeight="1" x14ac:dyDescent="0.25">
      <c r="A55" s="161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</row>
    <row r="56" spans="1:28" ht="12" customHeight="1" x14ac:dyDescent="0.25">
      <c r="A56" s="161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</row>
    <row r="57" spans="1:28" ht="12" customHeight="1" x14ac:dyDescent="0.25">
      <c r="A57" s="161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</row>
    <row r="58" spans="1:28" ht="12" customHeight="1" x14ac:dyDescent="0.25">
      <c r="A58" s="161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</row>
    <row r="59" spans="1:28" ht="12" customHeight="1" x14ac:dyDescent="0.25">
      <c r="A59" s="161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</row>
    <row r="60" spans="1:28" ht="12" customHeight="1" x14ac:dyDescent="0.25">
      <c r="A60" s="161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</row>
    <row r="61" spans="1:28" ht="12" customHeight="1" x14ac:dyDescent="0.25">
      <c r="A61" s="161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</row>
    <row r="62" spans="1:28" ht="12" customHeight="1" x14ac:dyDescent="0.25">
      <c r="A62" s="161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</row>
    <row r="63" spans="1:28" ht="12" customHeight="1" x14ac:dyDescent="0.25">
      <c r="A63" s="161"/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</row>
    <row r="64" spans="1:28" ht="12" customHeight="1" x14ac:dyDescent="0.25">
      <c r="A64" s="161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</row>
    <row r="65" spans="1:28" ht="12" customHeight="1" x14ac:dyDescent="0.25">
      <c r="A65" s="161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</row>
    <row r="66" spans="1:28" ht="12" customHeight="1" x14ac:dyDescent="0.25">
      <c r="A66" s="161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</row>
    <row r="67" spans="1:28" ht="12" customHeight="1" x14ac:dyDescent="0.25">
      <c r="A67" s="161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</row>
    <row r="68" spans="1:28" ht="12" customHeight="1" x14ac:dyDescent="0.25">
      <c r="A68" s="161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</row>
    <row r="69" spans="1:28" ht="12" customHeight="1" x14ac:dyDescent="0.25">
      <c r="A69" s="161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</row>
    <row r="70" spans="1:28" ht="12" customHeight="1" x14ac:dyDescent="0.25">
      <c r="A70" s="161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</row>
    <row r="71" spans="1:28" ht="12" customHeight="1" x14ac:dyDescent="0.25">
      <c r="A71" s="161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</row>
    <row r="72" spans="1:28" ht="12" customHeight="1" x14ac:dyDescent="0.25">
      <c r="A72" s="161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</row>
    <row r="73" spans="1:28" ht="12" customHeight="1" x14ac:dyDescent="0.25">
      <c r="A73" s="161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</row>
    <row r="74" spans="1:28" ht="12" customHeight="1" x14ac:dyDescent="0.25">
      <c r="A74" s="161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</row>
    <row r="75" spans="1:28" ht="12" customHeight="1" x14ac:dyDescent="0.25">
      <c r="A75" s="161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</row>
    <row r="76" spans="1:28" ht="12" customHeight="1" x14ac:dyDescent="0.25">
      <c r="A76" s="161"/>
      <c r="B76" s="146"/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</row>
    <row r="77" spans="1:28" ht="12" customHeight="1" x14ac:dyDescent="0.25">
      <c r="A77" s="161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</row>
    <row r="78" spans="1:28" ht="12" customHeight="1" x14ac:dyDescent="0.25">
      <c r="A78" s="161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</row>
    <row r="79" spans="1:28" ht="12" customHeight="1" x14ac:dyDescent="0.25">
      <c r="A79" s="161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</row>
    <row r="80" spans="1:28" ht="12" customHeight="1" x14ac:dyDescent="0.25">
      <c r="A80" s="161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</row>
    <row r="81" spans="1:28" ht="12" customHeight="1" x14ac:dyDescent="0.25">
      <c r="A81" s="161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</row>
    <row r="82" spans="1:28" ht="12" customHeight="1" x14ac:dyDescent="0.25">
      <c r="A82" s="161"/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</row>
    <row r="83" spans="1:28" ht="12" customHeight="1" x14ac:dyDescent="0.25">
      <c r="A83" s="161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</row>
    <row r="84" spans="1:28" ht="12" customHeight="1" x14ac:dyDescent="0.25">
      <c r="A84" s="161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</row>
    <row r="85" spans="1:28" ht="12" customHeight="1" x14ac:dyDescent="0.25">
      <c r="A85" s="161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</row>
    <row r="86" spans="1:28" ht="12" customHeight="1" x14ac:dyDescent="0.25">
      <c r="A86" s="161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</row>
    <row r="87" spans="1:28" ht="12" customHeight="1" x14ac:dyDescent="0.25">
      <c r="A87" s="161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</row>
    <row r="88" spans="1:28" ht="12" customHeight="1" x14ac:dyDescent="0.25">
      <c r="A88" s="161"/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</row>
    <row r="89" spans="1:28" ht="12" customHeight="1" x14ac:dyDescent="0.25">
      <c r="A89" s="161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</row>
    <row r="90" spans="1:28" ht="12" customHeight="1" x14ac:dyDescent="0.25">
      <c r="A90" s="161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</row>
    <row r="91" spans="1:28" ht="12" customHeight="1" x14ac:dyDescent="0.25">
      <c r="A91" s="161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</row>
    <row r="92" spans="1:28" ht="12" customHeight="1" x14ac:dyDescent="0.25">
      <c r="A92" s="161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</row>
    <row r="93" spans="1:28" ht="12" customHeight="1" x14ac:dyDescent="0.25">
      <c r="A93" s="161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</row>
    <row r="94" spans="1:28" ht="12" customHeight="1" x14ac:dyDescent="0.25">
      <c r="A94" s="161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</row>
    <row r="95" spans="1:28" ht="12" customHeight="1" x14ac:dyDescent="0.25">
      <c r="A95" s="161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</row>
    <row r="96" spans="1:28" ht="12" customHeight="1" x14ac:dyDescent="0.25">
      <c r="A96" s="161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</row>
    <row r="97" spans="1:28" ht="12" customHeight="1" x14ac:dyDescent="0.25">
      <c r="A97" s="161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</row>
    <row r="98" spans="1:28" ht="12" customHeight="1" x14ac:dyDescent="0.25">
      <c r="A98" s="161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</row>
    <row r="99" spans="1:28" ht="12" customHeight="1" x14ac:dyDescent="0.25">
      <c r="A99" s="161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</row>
    <row r="100" spans="1:28" ht="12" customHeight="1" x14ac:dyDescent="0.25">
      <c r="A100" s="161"/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</row>
    <row r="101" spans="1:28" ht="12" customHeight="1" x14ac:dyDescent="0.25">
      <c r="A101" s="161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</row>
    <row r="102" spans="1:28" ht="12" customHeight="1" x14ac:dyDescent="0.25">
      <c r="A102" s="161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</row>
    <row r="103" spans="1:28" ht="12" customHeight="1" x14ac:dyDescent="0.25">
      <c r="A103" s="161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</row>
    <row r="104" spans="1:28" ht="12" customHeight="1" x14ac:dyDescent="0.25">
      <c r="A104" s="161"/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</row>
    <row r="105" spans="1:28" ht="12" customHeight="1" x14ac:dyDescent="0.25">
      <c r="A105" s="161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</row>
    <row r="106" spans="1:28" ht="12" customHeight="1" x14ac:dyDescent="0.25">
      <c r="A106" s="161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</row>
    <row r="107" spans="1:28" ht="12" customHeight="1" x14ac:dyDescent="0.25">
      <c r="A107" s="161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</row>
    <row r="108" spans="1:28" ht="12" customHeight="1" x14ac:dyDescent="0.25">
      <c r="A108" s="161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</row>
    <row r="109" spans="1:28" ht="12" customHeight="1" x14ac:dyDescent="0.25">
      <c r="A109" s="161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</row>
    <row r="110" spans="1:28" ht="12" customHeight="1" x14ac:dyDescent="0.25">
      <c r="A110" s="161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</row>
    <row r="111" spans="1:28" ht="12" customHeight="1" x14ac:dyDescent="0.25">
      <c r="A111" s="161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</row>
    <row r="112" spans="1:28" ht="12" customHeight="1" x14ac:dyDescent="0.25">
      <c r="A112" s="161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</row>
    <row r="113" spans="1:28" ht="12" customHeight="1" x14ac:dyDescent="0.25">
      <c r="A113" s="161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</row>
    <row r="114" spans="1:28" ht="12" customHeight="1" x14ac:dyDescent="0.25">
      <c r="A114" s="161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</row>
    <row r="115" spans="1:28" ht="12" customHeight="1" x14ac:dyDescent="0.25">
      <c r="A115" s="161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</row>
    <row r="116" spans="1:28" ht="12" customHeight="1" x14ac:dyDescent="0.25">
      <c r="A116" s="161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</row>
    <row r="117" spans="1:28" ht="12" customHeight="1" x14ac:dyDescent="0.25">
      <c r="A117" s="161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</row>
    <row r="118" spans="1:28" ht="12" customHeight="1" x14ac:dyDescent="0.25">
      <c r="A118" s="161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</row>
    <row r="119" spans="1:28" ht="12" customHeight="1" x14ac:dyDescent="0.25">
      <c r="A119" s="161"/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</row>
    <row r="120" spans="1:28" ht="12" customHeight="1" x14ac:dyDescent="0.25">
      <c r="A120" s="161"/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</row>
    <row r="121" spans="1:28" ht="12" customHeight="1" x14ac:dyDescent="0.25">
      <c r="A121" s="161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</row>
    <row r="122" spans="1:28" ht="12" customHeight="1" x14ac:dyDescent="0.25">
      <c r="A122" s="161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</row>
    <row r="123" spans="1:28" ht="12" customHeight="1" x14ac:dyDescent="0.25">
      <c r="A123" s="161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</row>
    <row r="124" spans="1:28" ht="12" customHeight="1" x14ac:dyDescent="0.25">
      <c r="A124" s="161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</row>
    <row r="125" spans="1:28" ht="12" customHeight="1" x14ac:dyDescent="0.25">
      <c r="A125" s="161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</row>
    <row r="126" spans="1:28" ht="12" customHeight="1" x14ac:dyDescent="0.25">
      <c r="A126" s="161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</row>
    <row r="127" spans="1:28" ht="12" customHeight="1" x14ac:dyDescent="0.25">
      <c r="A127" s="161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</row>
    <row r="128" spans="1:28" ht="12" customHeight="1" x14ac:dyDescent="0.25">
      <c r="A128" s="161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</row>
    <row r="129" spans="1:28" ht="12" customHeight="1" x14ac:dyDescent="0.25">
      <c r="A129" s="161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</row>
    <row r="130" spans="1:28" ht="12" customHeight="1" x14ac:dyDescent="0.25">
      <c r="A130" s="161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</row>
    <row r="131" spans="1:28" ht="12" customHeight="1" x14ac:dyDescent="0.25">
      <c r="A131" s="161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</row>
    <row r="132" spans="1:28" ht="12" customHeight="1" x14ac:dyDescent="0.25">
      <c r="A132" s="161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</row>
    <row r="133" spans="1:28" ht="12" customHeight="1" x14ac:dyDescent="0.25">
      <c r="A133" s="161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</row>
    <row r="134" spans="1:28" ht="12" customHeight="1" x14ac:dyDescent="0.25">
      <c r="A134" s="161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</row>
    <row r="135" spans="1:28" ht="12" customHeight="1" x14ac:dyDescent="0.25">
      <c r="A135" s="161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</row>
    <row r="136" spans="1:28" ht="12" customHeight="1" x14ac:dyDescent="0.25">
      <c r="A136" s="161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</row>
    <row r="137" spans="1:28" ht="12" customHeight="1" x14ac:dyDescent="0.25">
      <c r="A137" s="161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</row>
    <row r="138" spans="1:28" ht="12" customHeight="1" x14ac:dyDescent="0.25">
      <c r="A138" s="161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</row>
    <row r="139" spans="1:28" ht="12" customHeight="1" x14ac:dyDescent="0.25">
      <c r="A139" s="161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</row>
    <row r="140" spans="1:28" ht="12" customHeight="1" x14ac:dyDescent="0.25">
      <c r="A140" s="161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</row>
    <row r="141" spans="1:28" ht="12" customHeight="1" x14ac:dyDescent="0.25">
      <c r="A141" s="161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</row>
    <row r="142" spans="1:28" ht="12" customHeight="1" x14ac:dyDescent="0.25">
      <c r="A142" s="161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</row>
    <row r="143" spans="1:28" ht="12" customHeight="1" x14ac:dyDescent="0.25">
      <c r="A143" s="161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</row>
    <row r="144" spans="1:28" ht="12" customHeight="1" x14ac:dyDescent="0.25">
      <c r="A144" s="161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</row>
    <row r="145" spans="1:28" ht="12" customHeight="1" x14ac:dyDescent="0.25">
      <c r="A145" s="161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</row>
    <row r="146" spans="1:28" ht="12" customHeight="1" x14ac:dyDescent="0.25">
      <c r="A146" s="161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</row>
    <row r="147" spans="1:28" ht="12" customHeight="1" x14ac:dyDescent="0.25">
      <c r="A147" s="161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</row>
    <row r="148" spans="1:28" ht="12" customHeight="1" x14ac:dyDescent="0.25">
      <c r="A148" s="161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</row>
    <row r="149" spans="1:28" ht="12" customHeight="1" x14ac:dyDescent="0.25">
      <c r="A149" s="161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</row>
    <row r="150" spans="1:28" ht="12" customHeight="1" x14ac:dyDescent="0.25">
      <c r="A150" s="161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</row>
    <row r="151" spans="1:28" ht="12" customHeight="1" x14ac:dyDescent="0.25">
      <c r="A151" s="161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</row>
    <row r="152" spans="1:28" ht="12" customHeight="1" x14ac:dyDescent="0.25">
      <c r="A152" s="161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</row>
    <row r="153" spans="1:28" ht="12" customHeight="1" x14ac:dyDescent="0.25">
      <c r="A153" s="161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</row>
    <row r="154" spans="1:28" ht="12" customHeight="1" x14ac:dyDescent="0.25">
      <c r="A154" s="161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</row>
    <row r="155" spans="1:28" ht="12" customHeight="1" x14ac:dyDescent="0.25">
      <c r="A155" s="161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</row>
    <row r="156" spans="1:28" ht="12" customHeight="1" x14ac:dyDescent="0.25">
      <c r="A156" s="161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</row>
    <row r="157" spans="1:28" ht="12" customHeight="1" x14ac:dyDescent="0.25">
      <c r="A157" s="161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</row>
    <row r="158" spans="1:28" ht="12" customHeight="1" x14ac:dyDescent="0.25">
      <c r="A158" s="161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</row>
    <row r="159" spans="1:28" ht="12" customHeight="1" x14ac:dyDescent="0.25">
      <c r="A159" s="161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</row>
    <row r="160" spans="1:28" ht="12" customHeight="1" x14ac:dyDescent="0.25">
      <c r="A160" s="161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</row>
    <row r="161" spans="1:28" ht="12" customHeight="1" x14ac:dyDescent="0.25">
      <c r="A161" s="161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</row>
    <row r="162" spans="1:28" ht="12" customHeight="1" x14ac:dyDescent="0.25">
      <c r="A162" s="161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</row>
    <row r="163" spans="1:28" ht="12" customHeight="1" x14ac:dyDescent="0.25">
      <c r="A163" s="161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</row>
    <row r="164" spans="1:28" ht="12" customHeight="1" x14ac:dyDescent="0.25">
      <c r="A164" s="161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</row>
    <row r="165" spans="1:28" ht="12" customHeight="1" x14ac:dyDescent="0.25">
      <c r="A165" s="161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</row>
    <row r="166" spans="1:28" ht="12" customHeight="1" x14ac:dyDescent="0.25">
      <c r="A166" s="161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</row>
    <row r="167" spans="1:28" ht="12" customHeight="1" x14ac:dyDescent="0.25">
      <c r="A167" s="161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</row>
    <row r="168" spans="1:28" ht="12" customHeight="1" x14ac:dyDescent="0.25">
      <c r="A168" s="161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</row>
    <row r="169" spans="1:28" ht="12" customHeight="1" x14ac:dyDescent="0.25">
      <c r="A169" s="161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</row>
    <row r="170" spans="1:28" ht="12" customHeight="1" x14ac:dyDescent="0.25">
      <c r="A170" s="161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</row>
    <row r="171" spans="1:28" ht="12" customHeight="1" x14ac:dyDescent="0.25">
      <c r="A171" s="161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</row>
    <row r="172" spans="1:28" ht="12" customHeight="1" x14ac:dyDescent="0.25">
      <c r="A172" s="161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</row>
    <row r="173" spans="1:28" ht="12" customHeight="1" x14ac:dyDescent="0.25">
      <c r="A173" s="161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</row>
    <row r="174" spans="1:28" ht="12" customHeight="1" x14ac:dyDescent="0.25">
      <c r="A174" s="161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</row>
    <row r="175" spans="1:28" ht="12" customHeight="1" x14ac:dyDescent="0.25">
      <c r="A175" s="161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</row>
    <row r="176" spans="1:28" ht="12" customHeight="1" x14ac:dyDescent="0.25">
      <c r="A176" s="161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</row>
    <row r="177" spans="1:28" ht="12" customHeight="1" x14ac:dyDescent="0.25">
      <c r="A177" s="161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</row>
    <row r="178" spans="1:28" ht="12" customHeight="1" x14ac:dyDescent="0.25">
      <c r="A178" s="161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</row>
    <row r="179" spans="1:28" ht="12" customHeight="1" x14ac:dyDescent="0.25">
      <c r="A179" s="161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</row>
    <row r="180" spans="1:28" ht="12" customHeight="1" x14ac:dyDescent="0.25">
      <c r="A180" s="161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</row>
    <row r="181" spans="1:28" ht="12" customHeight="1" x14ac:dyDescent="0.25">
      <c r="A181" s="161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</row>
    <row r="182" spans="1:28" ht="12" customHeight="1" x14ac:dyDescent="0.25">
      <c r="A182" s="161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</row>
    <row r="183" spans="1:28" ht="12" customHeight="1" x14ac:dyDescent="0.25">
      <c r="A183" s="161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</row>
    <row r="184" spans="1:28" ht="12" customHeight="1" x14ac:dyDescent="0.25">
      <c r="A184" s="161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</row>
    <row r="185" spans="1:28" ht="12" customHeight="1" x14ac:dyDescent="0.25">
      <c r="A185" s="161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</row>
    <row r="186" spans="1:28" ht="12" customHeight="1" x14ac:dyDescent="0.25">
      <c r="A186" s="161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</row>
    <row r="187" spans="1:28" ht="12" customHeight="1" x14ac:dyDescent="0.25">
      <c r="A187" s="161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</row>
    <row r="188" spans="1:28" ht="12" customHeight="1" x14ac:dyDescent="0.25">
      <c r="A188" s="161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</row>
    <row r="189" spans="1:28" ht="12" customHeight="1" x14ac:dyDescent="0.25">
      <c r="A189" s="161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</row>
    <row r="190" spans="1:28" ht="12" customHeight="1" x14ac:dyDescent="0.25">
      <c r="A190" s="161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</row>
    <row r="191" spans="1:28" ht="12" customHeight="1" x14ac:dyDescent="0.25">
      <c r="A191" s="161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</row>
    <row r="192" spans="1:28" ht="12" customHeight="1" x14ac:dyDescent="0.25">
      <c r="A192" s="161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</row>
    <row r="193" spans="1:28" ht="12" customHeight="1" x14ac:dyDescent="0.25">
      <c r="A193" s="161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</row>
    <row r="194" spans="1:28" ht="12" customHeight="1" x14ac:dyDescent="0.25">
      <c r="A194" s="161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</row>
    <row r="195" spans="1:28" ht="12" customHeight="1" x14ac:dyDescent="0.25">
      <c r="A195" s="161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</row>
    <row r="196" spans="1:28" ht="12" customHeight="1" x14ac:dyDescent="0.25">
      <c r="A196" s="161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</row>
    <row r="197" spans="1:28" ht="12" customHeight="1" x14ac:dyDescent="0.25">
      <c r="A197" s="161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</row>
    <row r="198" spans="1:28" ht="12" customHeight="1" x14ac:dyDescent="0.25">
      <c r="A198" s="161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</row>
    <row r="199" spans="1:28" ht="12" customHeight="1" x14ac:dyDescent="0.25">
      <c r="A199" s="161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</row>
    <row r="200" spans="1:28" ht="12" customHeight="1" x14ac:dyDescent="0.25">
      <c r="A200" s="161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</row>
    <row r="201" spans="1:28" ht="12" customHeight="1" x14ac:dyDescent="0.25">
      <c r="A201" s="161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</row>
    <row r="202" spans="1:28" ht="12" customHeight="1" x14ac:dyDescent="0.25">
      <c r="A202" s="161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</row>
    <row r="203" spans="1:28" ht="12" customHeight="1" x14ac:dyDescent="0.25">
      <c r="A203" s="161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</row>
    <row r="204" spans="1:28" ht="12" customHeight="1" x14ac:dyDescent="0.25">
      <c r="A204" s="161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</row>
    <row r="205" spans="1:28" ht="12" customHeight="1" x14ac:dyDescent="0.25">
      <c r="A205" s="161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</row>
    <row r="206" spans="1:28" ht="12" customHeight="1" x14ac:dyDescent="0.25">
      <c r="A206" s="161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</row>
    <row r="207" spans="1:28" ht="12" customHeight="1" x14ac:dyDescent="0.25">
      <c r="A207" s="161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</row>
    <row r="208" spans="1:28" ht="12" customHeight="1" x14ac:dyDescent="0.25">
      <c r="A208" s="161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</row>
    <row r="209" spans="1:28" ht="12" customHeight="1" x14ac:dyDescent="0.25">
      <c r="A209" s="161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</row>
    <row r="210" spans="1:28" ht="12" customHeight="1" x14ac:dyDescent="0.25">
      <c r="A210" s="161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</row>
    <row r="211" spans="1:28" ht="12" customHeight="1" x14ac:dyDescent="0.25">
      <c r="A211" s="161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</row>
    <row r="212" spans="1:28" ht="12" customHeight="1" x14ac:dyDescent="0.25">
      <c r="A212" s="161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</row>
    <row r="213" spans="1:28" ht="12" customHeight="1" x14ac:dyDescent="0.25">
      <c r="A213" s="161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</row>
    <row r="214" spans="1:28" ht="12" customHeight="1" x14ac:dyDescent="0.25">
      <c r="A214" s="161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</row>
    <row r="215" spans="1:28" ht="12" customHeight="1" x14ac:dyDescent="0.25">
      <c r="A215" s="161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</row>
    <row r="216" spans="1:28" ht="12" customHeight="1" x14ac:dyDescent="0.25">
      <c r="A216" s="161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</row>
    <row r="217" spans="1:28" ht="12" customHeight="1" x14ac:dyDescent="0.25">
      <c r="A217" s="161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</row>
    <row r="218" spans="1:28" ht="12" customHeight="1" x14ac:dyDescent="0.25">
      <c r="A218" s="161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</row>
    <row r="219" spans="1:28" ht="12" customHeight="1" x14ac:dyDescent="0.25">
      <c r="A219" s="161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</row>
    <row r="220" spans="1:28" ht="12" customHeight="1" x14ac:dyDescent="0.25">
      <c r="A220" s="161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</row>
    <row r="221" spans="1:28" ht="12" customHeight="1" x14ac:dyDescent="0.25">
      <c r="A221" s="161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</row>
    <row r="222" spans="1:28" ht="12" customHeight="1" x14ac:dyDescent="0.25">
      <c r="A222" s="161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</row>
    <row r="223" spans="1:28" ht="12" customHeight="1" x14ac:dyDescent="0.25">
      <c r="A223" s="161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</row>
    <row r="224" spans="1:28" ht="12" customHeight="1" x14ac:dyDescent="0.25">
      <c r="A224" s="161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</row>
    <row r="225" spans="1:28" ht="12" customHeight="1" x14ac:dyDescent="0.25">
      <c r="A225" s="161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</row>
    <row r="226" spans="1:28" ht="12" customHeight="1" x14ac:dyDescent="0.25">
      <c r="A226" s="161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</row>
    <row r="227" spans="1:28" ht="12" customHeight="1" x14ac:dyDescent="0.25">
      <c r="A227" s="161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</row>
    <row r="228" spans="1:28" ht="12" customHeight="1" x14ac:dyDescent="0.25">
      <c r="A228" s="161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</row>
    <row r="229" spans="1:28" ht="12" customHeight="1" x14ac:dyDescent="0.25">
      <c r="A229" s="161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</row>
    <row r="230" spans="1:28" ht="12" customHeight="1" x14ac:dyDescent="0.25">
      <c r="A230" s="161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</row>
    <row r="231" spans="1:28" ht="12" customHeight="1" x14ac:dyDescent="0.25">
      <c r="A231" s="161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</row>
    <row r="232" spans="1:28" ht="12" customHeight="1" x14ac:dyDescent="0.25">
      <c r="A232" s="161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</row>
    <row r="233" spans="1:28" ht="12" customHeight="1" x14ac:dyDescent="0.25">
      <c r="A233" s="161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</row>
    <row r="234" spans="1:28" ht="12" customHeight="1" x14ac:dyDescent="0.25">
      <c r="A234" s="161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</row>
    <row r="235" spans="1:28" ht="12" customHeight="1" x14ac:dyDescent="0.25">
      <c r="A235" s="161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</row>
    <row r="236" spans="1:28" ht="12" customHeight="1" x14ac:dyDescent="0.25">
      <c r="A236" s="161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</row>
    <row r="237" spans="1:28" ht="12" customHeight="1" x14ac:dyDescent="0.25">
      <c r="A237" s="161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</row>
    <row r="238" spans="1:28" ht="12" customHeight="1" x14ac:dyDescent="0.25">
      <c r="A238" s="161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</row>
    <row r="239" spans="1:28" ht="12" customHeight="1" x14ac:dyDescent="0.25">
      <c r="A239" s="161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</row>
    <row r="240" spans="1:28" ht="12" customHeight="1" x14ac:dyDescent="0.25">
      <c r="A240" s="161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</row>
    <row r="241" spans="1:28" ht="12" customHeight="1" x14ac:dyDescent="0.25">
      <c r="A241" s="161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</row>
    <row r="242" spans="1:28" ht="12" customHeight="1" x14ac:dyDescent="0.25">
      <c r="A242" s="161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</row>
    <row r="243" spans="1:28" ht="12" customHeight="1" x14ac:dyDescent="0.25">
      <c r="A243" s="161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</row>
    <row r="244" spans="1:28" ht="12" customHeight="1" x14ac:dyDescent="0.25">
      <c r="A244" s="161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</row>
    <row r="245" spans="1:28" ht="12" customHeight="1" x14ac:dyDescent="0.25">
      <c r="A245" s="161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</row>
    <row r="246" spans="1:28" ht="12" customHeight="1" x14ac:dyDescent="0.25">
      <c r="A246" s="161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</row>
    <row r="247" spans="1:28" ht="12" customHeight="1" x14ac:dyDescent="0.25">
      <c r="A247" s="161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</row>
    <row r="248" spans="1:28" ht="12" customHeight="1" x14ac:dyDescent="0.25">
      <c r="A248" s="161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</row>
    <row r="249" spans="1:28" ht="12" customHeight="1" x14ac:dyDescent="0.25">
      <c r="A249" s="161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</row>
    <row r="250" spans="1:28" ht="12" customHeight="1" x14ac:dyDescent="0.25">
      <c r="A250" s="161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</row>
    <row r="251" spans="1:28" ht="12" customHeight="1" x14ac:dyDescent="0.25">
      <c r="A251" s="161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</row>
    <row r="252" spans="1:28" ht="12" customHeight="1" x14ac:dyDescent="0.25">
      <c r="A252" s="161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</row>
    <row r="253" spans="1:28" ht="12" customHeight="1" x14ac:dyDescent="0.25">
      <c r="A253" s="161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</row>
    <row r="254" spans="1:28" ht="12" customHeight="1" x14ac:dyDescent="0.25">
      <c r="A254" s="161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</row>
    <row r="255" spans="1:28" ht="12" customHeight="1" x14ac:dyDescent="0.25">
      <c r="A255" s="161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</row>
    <row r="256" spans="1:28" ht="12" customHeight="1" x14ac:dyDescent="0.25">
      <c r="A256" s="161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</row>
    <row r="257" spans="1:28" ht="12" customHeight="1" x14ac:dyDescent="0.25">
      <c r="A257" s="161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</row>
    <row r="258" spans="1:28" ht="12" customHeight="1" x14ac:dyDescent="0.25">
      <c r="A258" s="161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</row>
    <row r="259" spans="1:28" ht="12" customHeight="1" x14ac:dyDescent="0.25">
      <c r="A259" s="161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</row>
    <row r="260" spans="1:28" ht="12" customHeight="1" x14ac:dyDescent="0.25">
      <c r="A260" s="161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</row>
    <row r="261" spans="1:28" ht="12" customHeight="1" x14ac:dyDescent="0.25">
      <c r="A261" s="161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</row>
    <row r="262" spans="1:28" ht="12" customHeight="1" x14ac:dyDescent="0.25">
      <c r="A262" s="161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</row>
    <row r="263" spans="1:28" ht="12" customHeight="1" x14ac:dyDescent="0.25">
      <c r="A263" s="161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</row>
    <row r="264" spans="1:28" ht="12" customHeight="1" x14ac:dyDescent="0.25">
      <c r="A264" s="161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</row>
    <row r="265" spans="1:28" ht="12" customHeight="1" x14ac:dyDescent="0.25">
      <c r="A265" s="161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</row>
    <row r="266" spans="1:28" ht="12" customHeight="1" x14ac:dyDescent="0.25">
      <c r="A266" s="161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</row>
    <row r="267" spans="1:28" ht="12" customHeight="1" x14ac:dyDescent="0.25">
      <c r="A267" s="161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</row>
    <row r="268" spans="1:28" ht="12" customHeight="1" x14ac:dyDescent="0.25">
      <c r="A268" s="161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</row>
    <row r="269" spans="1:28" ht="12" customHeight="1" x14ac:dyDescent="0.25">
      <c r="A269" s="161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</row>
    <row r="270" spans="1:28" ht="12" customHeight="1" x14ac:dyDescent="0.25">
      <c r="A270" s="161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</row>
    <row r="271" spans="1:28" ht="12" customHeight="1" x14ac:dyDescent="0.25">
      <c r="A271" s="161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</row>
    <row r="272" spans="1:28" ht="12" customHeight="1" x14ac:dyDescent="0.25">
      <c r="A272" s="161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</row>
    <row r="273" spans="1:28" ht="12" customHeight="1" x14ac:dyDescent="0.25">
      <c r="A273" s="161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</row>
    <row r="274" spans="1:28" ht="12" customHeight="1" x14ac:dyDescent="0.25">
      <c r="A274" s="161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</row>
    <row r="275" spans="1:28" ht="12" customHeight="1" x14ac:dyDescent="0.25">
      <c r="A275" s="161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</row>
    <row r="276" spans="1:28" ht="12" customHeight="1" x14ac:dyDescent="0.25">
      <c r="A276" s="161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</row>
    <row r="277" spans="1:28" ht="12" customHeight="1" x14ac:dyDescent="0.25">
      <c r="A277" s="161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</row>
    <row r="278" spans="1:28" ht="12" customHeight="1" x14ac:dyDescent="0.25">
      <c r="A278" s="161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</row>
    <row r="279" spans="1:28" ht="12" customHeight="1" x14ac:dyDescent="0.25">
      <c r="A279" s="161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</row>
    <row r="280" spans="1:28" ht="12" customHeight="1" x14ac:dyDescent="0.25">
      <c r="A280" s="161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</row>
    <row r="281" spans="1:28" ht="12" customHeight="1" x14ac:dyDescent="0.25">
      <c r="A281" s="161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</row>
    <row r="282" spans="1:28" ht="12" customHeight="1" x14ac:dyDescent="0.25">
      <c r="A282" s="161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</row>
    <row r="283" spans="1:28" ht="12" customHeight="1" x14ac:dyDescent="0.25">
      <c r="A283" s="161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</row>
    <row r="284" spans="1:28" ht="12" customHeight="1" x14ac:dyDescent="0.25">
      <c r="A284" s="161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</row>
    <row r="285" spans="1:28" ht="12" customHeight="1" x14ac:dyDescent="0.25">
      <c r="A285" s="161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</row>
    <row r="286" spans="1:28" ht="12" customHeight="1" x14ac:dyDescent="0.25">
      <c r="A286" s="161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</row>
    <row r="287" spans="1:28" ht="12" customHeight="1" x14ac:dyDescent="0.25">
      <c r="A287" s="161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</row>
    <row r="288" spans="1:28" ht="12" customHeight="1" x14ac:dyDescent="0.25">
      <c r="A288" s="161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</row>
    <row r="289" spans="1:28" ht="12" customHeight="1" x14ac:dyDescent="0.25">
      <c r="A289" s="161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</row>
    <row r="290" spans="1:28" ht="12" customHeight="1" x14ac:dyDescent="0.25">
      <c r="A290" s="161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</row>
    <row r="291" spans="1:28" ht="12" customHeight="1" x14ac:dyDescent="0.25">
      <c r="A291" s="161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</row>
    <row r="292" spans="1:28" ht="12" customHeight="1" x14ac:dyDescent="0.25">
      <c r="A292" s="161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</row>
    <row r="293" spans="1:28" ht="12" customHeight="1" x14ac:dyDescent="0.25">
      <c r="A293" s="161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</row>
    <row r="294" spans="1:28" ht="12" customHeight="1" x14ac:dyDescent="0.25">
      <c r="A294" s="161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</row>
    <row r="295" spans="1:28" ht="12" customHeight="1" x14ac:dyDescent="0.25">
      <c r="A295" s="161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</row>
    <row r="296" spans="1:28" ht="12" customHeight="1" x14ac:dyDescent="0.25">
      <c r="A296" s="161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</row>
    <row r="297" spans="1:28" ht="12" customHeight="1" x14ac:dyDescent="0.25">
      <c r="A297" s="161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</row>
    <row r="298" spans="1:28" ht="12" customHeight="1" x14ac:dyDescent="0.25">
      <c r="A298" s="161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</row>
    <row r="299" spans="1:28" ht="12" customHeight="1" x14ac:dyDescent="0.25">
      <c r="A299" s="161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</row>
    <row r="300" spans="1:28" ht="12" customHeight="1" x14ac:dyDescent="0.25">
      <c r="A300" s="161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</row>
    <row r="301" spans="1:28" ht="12" customHeight="1" x14ac:dyDescent="0.25">
      <c r="A301" s="161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</row>
    <row r="302" spans="1:28" ht="12" customHeight="1" x14ac:dyDescent="0.25">
      <c r="A302" s="161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</row>
    <row r="303" spans="1:28" ht="12" customHeight="1" x14ac:dyDescent="0.25">
      <c r="A303" s="161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</row>
    <row r="304" spans="1:28" ht="12" customHeight="1" x14ac:dyDescent="0.25">
      <c r="A304" s="161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</row>
    <row r="305" spans="1:28" ht="12" customHeight="1" x14ac:dyDescent="0.25">
      <c r="A305" s="161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</row>
    <row r="306" spans="1:28" ht="12" customHeight="1" x14ac:dyDescent="0.25">
      <c r="A306" s="161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</row>
    <row r="307" spans="1:28" ht="12" customHeight="1" x14ac:dyDescent="0.25">
      <c r="A307" s="161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</row>
    <row r="308" spans="1:28" ht="12" customHeight="1" x14ac:dyDescent="0.25">
      <c r="A308" s="161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</row>
    <row r="309" spans="1:28" ht="12" customHeight="1" x14ac:dyDescent="0.25">
      <c r="A309" s="161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</row>
    <row r="310" spans="1:28" ht="12" customHeight="1" x14ac:dyDescent="0.25">
      <c r="A310" s="161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</row>
    <row r="311" spans="1:28" ht="12" customHeight="1" x14ac:dyDescent="0.25">
      <c r="A311" s="161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</row>
    <row r="312" spans="1:28" ht="12" customHeight="1" x14ac:dyDescent="0.25">
      <c r="A312" s="161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</row>
    <row r="313" spans="1:28" ht="12" customHeight="1" x14ac:dyDescent="0.25">
      <c r="A313" s="161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</row>
    <row r="314" spans="1:28" ht="12" customHeight="1" x14ac:dyDescent="0.25">
      <c r="A314" s="161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</row>
    <row r="315" spans="1:28" ht="12" customHeight="1" x14ac:dyDescent="0.25">
      <c r="A315" s="161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</row>
    <row r="316" spans="1:28" ht="12" customHeight="1" x14ac:dyDescent="0.25">
      <c r="A316" s="161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</row>
    <row r="317" spans="1:28" ht="12" customHeight="1" x14ac:dyDescent="0.25">
      <c r="A317" s="161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</row>
    <row r="318" spans="1:28" ht="12" customHeight="1" x14ac:dyDescent="0.25">
      <c r="A318" s="161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</row>
    <row r="319" spans="1:28" ht="12" customHeight="1" x14ac:dyDescent="0.25">
      <c r="A319" s="161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</row>
    <row r="320" spans="1:28" ht="12" customHeight="1" x14ac:dyDescent="0.25">
      <c r="A320" s="161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</row>
    <row r="321" spans="1:28" ht="12" customHeight="1" x14ac:dyDescent="0.25">
      <c r="A321" s="161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</row>
    <row r="322" spans="1:28" ht="12" customHeight="1" x14ac:dyDescent="0.25">
      <c r="A322" s="161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</row>
    <row r="323" spans="1:28" ht="12" customHeight="1" x14ac:dyDescent="0.25">
      <c r="A323" s="161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</row>
    <row r="324" spans="1:28" ht="12" customHeight="1" x14ac:dyDescent="0.25">
      <c r="A324" s="161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</row>
    <row r="325" spans="1:28" ht="12" customHeight="1" x14ac:dyDescent="0.25">
      <c r="A325" s="161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</row>
    <row r="326" spans="1:28" ht="12" customHeight="1" x14ac:dyDescent="0.25">
      <c r="A326" s="161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</row>
    <row r="327" spans="1:28" ht="12" customHeight="1" x14ac:dyDescent="0.25">
      <c r="A327" s="161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</row>
    <row r="328" spans="1:28" ht="12" customHeight="1" x14ac:dyDescent="0.25">
      <c r="A328" s="161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</row>
    <row r="329" spans="1:28" ht="12" customHeight="1" x14ac:dyDescent="0.25">
      <c r="A329" s="161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</row>
    <row r="330" spans="1:28" ht="12" customHeight="1" x14ac:dyDescent="0.25">
      <c r="A330" s="161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</row>
    <row r="331" spans="1:28" ht="12" customHeight="1" x14ac:dyDescent="0.25">
      <c r="A331" s="161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</row>
    <row r="332" spans="1:28" ht="12" customHeight="1" x14ac:dyDescent="0.25">
      <c r="A332" s="161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</row>
    <row r="333" spans="1:28" ht="12" customHeight="1" x14ac:dyDescent="0.25">
      <c r="A333" s="161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</row>
    <row r="334" spans="1:28" ht="12" customHeight="1" x14ac:dyDescent="0.25">
      <c r="A334" s="161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</row>
    <row r="335" spans="1:28" ht="12" customHeight="1" x14ac:dyDescent="0.25">
      <c r="A335" s="161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</row>
    <row r="336" spans="1:28" ht="12" customHeight="1" x14ac:dyDescent="0.25">
      <c r="A336" s="161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</row>
    <row r="337" spans="1:28" ht="12" customHeight="1" x14ac:dyDescent="0.25">
      <c r="A337" s="161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</row>
    <row r="338" spans="1:28" ht="12" customHeight="1" x14ac:dyDescent="0.25">
      <c r="A338" s="161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</row>
    <row r="339" spans="1:28" ht="12" customHeight="1" x14ac:dyDescent="0.25">
      <c r="A339" s="161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</row>
    <row r="340" spans="1:28" ht="12" customHeight="1" x14ac:dyDescent="0.25">
      <c r="A340" s="161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</row>
    <row r="341" spans="1:28" ht="12" customHeight="1" x14ac:dyDescent="0.25">
      <c r="A341" s="161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</row>
    <row r="342" spans="1:28" ht="12" customHeight="1" x14ac:dyDescent="0.25">
      <c r="A342" s="161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</row>
    <row r="343" spans="1:28" ht="12" customHeight="1" x14ac:dyDescent="0.25">
      <c r="A343" s="161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</row>
    <row r="344" spans="1:28" ht="12" customHeight="1" x14ac:dyDescent="0.25">
      <c r="A344" s="161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</row>
    <row r="345" spans="1:28" ht="12" customHeight="1" x14ac:dyDescent="0.25">
      <c r="A345" s="161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</row>
    <row r="346" spans="1:28" ht="12" customHeight="1" x14ac:dyDescent="0.25">
      <c r="A346" s="161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</row>
    <row r="347" spans="1:28" ht="12" customHeight="1" x14ac:dyDescent="0.25">
      <c r="A347" s="161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</row>
    <row r="348" spans="1:28" ht="12" customHeight="1" x14ac:dyDescent="0.25">
      <c r="A348" s="161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</row>
    <row r="349" spans="1:28" ht="12" customHeight="1" x14ac:dyDescent="0.25">
      <c r="A349" s="161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</row>
    <row r="350" spans="1:28" ht="12" customHeight="1" x14ac:dyDescent="0.25">
      <c r="A350" s="161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</row>
    <row r="351" spans="1:28" ht="12" customHeight="1" x14ac:dyDescent="0.25">
      <c r="A351" s="161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</row>
    <row r="352" spans="1:28" ht="12" customHeight="1" x14ac:dyDescent="0.25">
      <c r="A352" s="161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</row>
    <row r="353" spans="1:28" ht="12" customHeight="1" x14ac:dyDescent="0.25">
      <c r="A353" s="161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</row>
    <row r="354" spans="1:28" ht="12" customHeight="1" x14ac:dyDescent="0.25">
      <c r="A354" s="161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</row>
    <row r="355" spans="1:28" ht="12" customHeight="1" x14ac:dyDescent="0.25">
      <c r="A355" s="161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</row>
    <row r="356" spans="1:28" ht="12" customHeight="1" x14ac:dyDescent="0.25">
      <c r="A356" s="161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</row>
    <row r="357" spans="1:28" ht="12" customHeight="1" x14ac:dyDescent="0.25">
      <c r="A357" s="161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</row>
    <row r="358" spans="1:28" ht="12" customHeight="1" x14ac:dyDescent="0.25">
      <c r="A358" s="161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</row>
    <row r="359" spans="1:28" ht="12" customHeight="1" x14ac:dyDescent="0.25">
      <c r="A359" s="161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</row>
    <row r="360" spans="1:28" ht="12" customHeight="1" x14ac:dyDescent="0.25">
      <c r="A360" s="161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</row>
    <row r="361" spans="1:28" ht="12" customHeight="1" x14ac:dyDescent="0.25">
      <c r="A361" s="161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</row>
    <row r="362" spans="1:28" ht="12" customHeight="1" x14ac:dyDescent="0.25">
      <c r="A362" s="161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</row>
    <row r="363" spans="1:28" ht="12" customHeight="1" x14ac:dyDescent="0.25">
      <c r="A363" s="161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</row>
    <row r="364" spans="1:28" ht="12" customHeight="1" x14ac:dyDescent="0.25">
      <c r="A364" s="161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</row>
    <row r="365" spans="1:28" ht="12" customHeight="1" x14ac:dyDescent="0.25">
      <c r="A365" s="161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</row>
    <row r="366" spans="1:28" ht="12" customHeight="1" x14ac:dyDescent="0.25">
      <c r="A366" s="161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</row>
    <row r="367" spans="1:28" ht="12" customHeight="1" x14ac:dyDescent="0.25">
      <c r="A367" s="161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</row>
    <row r="368" spans="1:28" ht="12" customHeight="1" x14ac:dyDescent="0.25">
      <c r="A368" s="161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</row>
    <row r="369" spans="1:28" ht="12" customHeight="1" x14ac:dyDescent="0.25">
      <c r="A369" s="161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</row>
    <row r="370" spans="1:28" ht="12" customHeight="1" x14ac:dyDescent="0.25">
      <c r="A370" s="161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</row>
    <row r="371" spans="1:28" ht="12" customHeight="1" x14ac:dyDescent="0.25">
      <c r="A371" s="161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</row>
    <row r="372" spans="1:28" ht="12" customHeight="1" x14ac:dyDescent="0.25">
      <c r="A372" s="161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</row>
    <row r="373" spans="1:28" ht="12" customHeight="1" x14ac:dyDescent="0.25">
      <c r="A373" s="161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</row>
    <row r="374" spans="1:28" ht="12" customHeight="1" x14ac:dyDescent="0.25">
      <c r="A374" s="161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</row>
    <row r="375" spans="1:28" ht="12" customHeight="1" x14ac:dyDescent="0.25">
      <c r="A375" s="161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</row>
    <row r="376" spans="1:28" ht="12" customHeight="1" x14ac:dyDescent="0.25">
      <c r="A376" s="161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</row>
    <row r="377" spans="1:28" ht="12" customHeight="1" x14ac:dyDescent="0.25">
      <c r="A377" s="161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</row>
    <row r="378" spans="1:28" ht="12" customHeight="1" x14ac:dyDescent="0.25">
      <c r="A378" s="161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</row>
    <row r="379" spans="1:28" ht="12" customHeight="1" x14ac:dyDescent="0.25">
      <c r="A379" s="161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</row>
    <row r="380" spans="1:28" ht="12" customHeight="1" x14ac:dyDescent="0.25">
      <c r="A380" s="161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</row>
    <row r="381" spans="1:28" ht="12" customHeight="1" x14ac:dyDescent="0.25">
      <c r="A381" s="161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</row>
    <row r="382" spans="1:28" ht="12" customHeight="1" x14ac:dyDescent="0.25">
      <c r="A382" s="161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</row>
    <row r="383" spans="1:28" ht="12" customHeight="1" x14ac:dyDescent="0.25">
      <c r="A383" s="161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</row>
    <row r="384" spans="1:28" ht="12" customHeight="1" x14ac:dyDescent="0.25">
      <c r="A384" s="161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</row>
    <row r="385" spans="1:28" ht="12" customHeight="1" x14ac:dyDescent="0.25">
      <c r="A385" s="161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</row>
    <row r="386" spans="1:28" ht="12" customHeight="1" x14ac:dyDescent="0.25">
      <c r="A386" s="161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</row>
    <row r="387" spans="1:28" ht="12" customHeight="1" x14ac:dyDescent="0.25">
      <c r="A387" s="161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</row>
    <row r="388" spans="1:28" ht="12" customHeight="1" x14ac:dyDescent="0.25">
      <c r="A388" s="161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</row>
    <row r="389" spans="1:28" ht="12" customHeight="1" x14ac:dyDescent="0.25">
      <c r="A389" s="161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</row>
    <row r="390" spans="1:28" ht="12" customHeight="1" x14ac:dyDescent="0.25">
      <c r="A390" s="161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</row>
    <row r="391" spans="1:28" ht="12" customHeight="1" x14ac:dyDescent="0.25">
      <c r="A391" s="161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</row>
    <row r="392" spans="1:28" ht="12" customHeight="1" x14ac:dyDescent="0.25">
      <c r="A392" s="161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</row>
    <row r="393" spans="1:28" ht="12" customHeight="1" x14ac:dyDescent="0.25">
      <c r="A393" s="161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</row>
    <row r="394" spans="1:28" ht="12" customHeight="1" x14ac:dyDescent="0.25">
      <c r="A394" s="161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</row>
    <row r="395" spans="1:28" ht="12" customHeight="1" x14ac:dyDescent="0.25">
      <c r="A395" s="161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</row>
    <row r="396" spans="1:28" ht="12" customHeight="1" x14ac:dyDescent="0.25">
      <c r="A396" s="161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</row>
    <row r="397" spans="1:28" ht="12" customHeight="1" x14ac:dyDescent="0.25">
      <c r="A397" s="161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</row>
    <row r="398" spans="1:28" ht="12" customHeight="1" x14ac:dyDescent="0.25">
      <c r="A398" s="161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</row>
    <row r="399" spans="1:28" ht="12" customHeight="1" x14ac:dyDescent="0.25">
      <c r="A399" s="161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</row>
    <row r="400" spans="1:28" ht="12" customHeight="1" x14ac:dyDescent="0.25">
      <c r="A400" s="161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</row>
    <row r="401" spans="1:28" ht="12" customHeight="1" x14ac:dyDescent="0.25">
      <c r="A401" s="161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</row>
    <row r="402" spans="1:28" ht="12" customHeight="1" x14ac:dyDescent="0.25">
      <c r="A402" s="161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</row>
    <row r="403" spans="1:28" ht="12" customHeight="1" x14ac:dyDescent="0.25">
      <c r="A403" s="161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</row>
    <row r="404" spans="1:28" ht="12" customHeight="1" x14ac:dyDescent="0.25">
      <c r="A404" s="161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</row>
    <row r="405" spans="1:28" ht="12" customHeight="1" x14ac:dyDescent="0.25">
      <c r="A405" s="161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</row>
    <row r="406" spans="1:28" ht="12" customHeight="1" x14ac:dyDescent="0.25">
      <c r="A406" s="161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</row>
    <row r="407" spans="1:28" ht="12" customHeight="1" x14ac:dyDescent="0.25">
      <c r="A407" s="161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</row>
    <row r="408" spans="1:28" ht="12" customHeight="1" x14ac:dyDescent="0.25">
      <c r="A408" s="161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</row>
    <row r="409" spans="1:28" ht="12" customHeight="1" x14ac:dyDescent="0.25">
      <c r="A409" s="161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</row>
    <row r="410" spans="1:28" ht="12" customHeight="1" x14ac:dyDescent="0.25">
      <c r="A410" s="161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</row>
    <row r="411" spans="1:28" ht="12" customHeight="1" x14ac:dyDescent="0.25">
      <c r="A411" s="161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</row>
    <row r="412" spans="1:28" ht="12" customHeight="1" x14ac:dyDescent="0.25">
      <c r="A412" s="161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</row>
    <row r="413" spans="1:28" ht="12" customHeight="1" x14ac:dyDescent="0.25">
      <c r="A413" s="161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</row>
    <row r="414" spans="1:28" ht="12" customHeight="1" x14ac:dyDescent="0.25">
      <c r="A414" s="161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</row>
    <row r="415" spans="1:28" ht="12" customHeight="1" x14ac:dyDescent="0.25">
      <c r="A415" s="161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</row>
    <row r="416" spans="1:28" ht="12" customHeight="1" x14ac:dyDescent="0.25">
      <c r="A416" s="161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</row>
    <row r="417" spans="1:28" ht="12" customHeight="1" x14ac:dyDescent="0.25">
      <c r="A417" s="161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</row>
    <row r="418" spans="1:28" ht="12" customHeight="1" x14ac:dyDescent="0.25">
      <c r="A418" s="161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</row>
    <row r="419" spans="1:28" ht="12" customHeight="1" x14ac:dyDescent="0.25">
      <c r="A419" s="161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</row>
    <row r="420" spans="1:28" ht="12" customHeight="1" x14ac:dyDescent="0.25">
      <c r="A420" s="161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</row>
    <row r="421" spans="1:28" ht="12" customHeight="1" x14ac:dyDescent="0.25">
      <c r="A421" s="161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</row>
    <row r="422" spans="1:28" ht="12" customHeight="1" x14ac:dyDescent="0.25">
      <c r="A422" s="161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</row>
    <row r="423" spans="1:28" ht="12" customHeight="1" x14ac:dyDescent="0.25">
      <c r="A423" s="161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</row>
    <row r="424" spans="1:28" ht="12" customHeight="1" x14ac:dyDescent="0.25">
      <c r="A424" s="161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</row>
    <row r="425" spans="1:28" ht="12" customHeight="1" x14ac:dyDescent="0.25">
      <c r="A425" s="161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</row>
    <row r="426" spans="1:28" ht="12" customHeight="1" x14ac:dyDescent="0.25">
      <c r="A426" s="161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</row>
    <row r="427" spans="1:28" ht="12" customHeight="1" x14ac:dyDescent="0.25">
      <c r="A427" s="161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</row>
    <row r="428" spans="1:28" ht="12" customHeight="1" x14ac:dyDescent="0.25">
      <c r="A428" s="161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</row>
    <row r="429" spans="1:28" ht="12" customHeight="1" x14ac:dyDescent="0.25">
      <c r="A429" s="161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</row>
    <row r="430" spans="1:28" ht="12" customHeight="1" x14ac:dyDescent="0.25">
      <c r="A430" s="161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</row>
    <row r="431" spans="1:28" ht="12" customHeight="1" x14ac:dyDescent="0.25">
      <c r="A431" s="161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</row>
    <row r="432" spans="1:28" ht="12" customHeight="1" x14ac:dyDescent="0.25">
      <c r="A432" s="161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</row>
    <row r="433" spans="1:28" ht="12" customHeight="1" x14ac:dyDescent="0.25">
      <c r="A433" s="161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</row>
    <row r="434" spans="1:28" ht="12" customHeight="1" x14ac:dyDescent="0.25">
      <c r="A434" s="161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</row>
    <row r="435" spans="1:28" ht="12" customHeight="1" x14ac:dyDescent="0.25">
      <c r="A435" s="161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</row>
    <row r="436" spans="1:28" ht="12" customHeight="1" x14ac:dyDescent="0.25">
      <c r="A436" s="161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</row>
    <row r="437" spans="1:28" ht="12" customHeight="1" x14ac:dyDescent="0.25">
      <c r="A437" s="161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</row>
    <row r="438" spans="1:28" ht="12" customHeight="1" x14ac:dyDescent="0.25">
      <c r="A438" s="161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</row>
    <row r="439" spans="1:28" ht="12" customHeight="1" x14ac:dyDescent="0.25">
      <c r="A439" s="161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</row>
    <row r="440" spans="1:28" ht="12" customHeight="1" x14ac:dyDescent="0.25">
      <c r="A440" s="161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</row>
    <row r="441" spans="1:28" ht="12" customHeight="1" x14ac:dyDescent="0.25">
      <c r="A441" s="161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</row>
    <row r="442" spans="1:28" ht="12" customHeight="1" x14ac:dyDescent="0.25">
      <c r="A442" s="161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</row>
    <row r="443" spans="1:28" ht="12" customHeight="1" x14ac:dyDescent="0.25">
      <c r="A443" s="161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</row>
    <row r="444" spans="1:28" ht="12" customHeight="1" x14ac:dyDescent="0.25">
      <c r="A444" s="161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</row>
    <row r="445" spans="1:28" ht="12" customHeight="1" x14ac:dyDescent="0.25">
      <c r="A445" s="161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</row>
    <row r="446" spans="1:28" ht="12" customHeight="1" x14ac:dyDescent="0.25">
      <c r="A446" s="161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</row>
    <row r="447" spans="1:28" ht="12" customHeight="1" x14ac:dyDescent="0.25">
      <c r="A447" s="161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</row>
    <row r="448" spans="1:28" ht="12" customHeight="1" x14ac:dyDescent="0.25">
      <c r="A448" s="161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</row>
    <row r="449" spans="1:28" ht="12" customHeight="1" x14ac:dyDescent="0.25">
      <c r="A449" s="161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</row>
    <row r="450" spans="1:28" ht="12" customHeight="1" x14ac:dyDescent="0.25">
      <c r="A450" s="161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</row>
    <row r="451" spans="1:28" ht="12" customHeight="1" x14ac:dyDescent="0.25">
      <c r="A451" s="161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</row>
    <row r="452" spans="1:28" ht="12" customHeight="1" x14ac:dyDescent="0.25">
      <c r="A452" s="161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</row>
    <row r="453" spans="1:28" ht="12" customHeight="1" x14ac:dyDescent="0.25">
      <c r="A453" s="161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</row>
    <row r="454" spans="1:28" ht="12" customHeight="1" x14ac:dyDescent="0.25">
      <c r="A454" s="161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</row>
    <row r="455" spans="1:28" ht="12" customHeight="1" x14ac:dyDescent="0.25">
      <c r="A455" s="161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</row>
    <row r="456" spans="1:28" ht="12" customHeight="1" x14ac:dyDescent="0.25">
      <c r="A456" s="161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</row>
    <row r="457" spans="1:28" ht="12" customHeight="1" x14ac:dyDescent="0.25">
      <c r="A457" s="161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</row>
    <row r="458" spans="1:28" ht="12" customHeight="1" x14ac:dyDescent="0.25">
      <c r="A458" s="161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</row>
    <row r="459" spans="1:28" ht="12" customHeight="1" x14ac:dyDescent="0.25">
      <c r="A459" s="161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</row>
    <row r="460" spans="1:28" ht="12" customHeight="1" x14ac:dyDescent="0.25">
      <c r="A460" s="161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</row>
    <row r="461" spans="1:28" ht="12" customHeight="1" x14ac:dyDescent="0.25">
      <c r="A461" s="161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</row>
    <row r="462" spans="1:28" ht="12" customHeight="1" x14ac:dyDescent="0.25">
      <c r="A462" s="161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</row>
    <row r="463" spans="1:28" ht="12" customHeight="1" x14ac:dyDescent="0.25">
      <c r="A463" s="161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</row>
    <row r="464" spans="1:28" ht="12" customHeight="1" x14ac:dyDescent="0.25">
      <c r="A464" s="161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</row>
    <row r="465" spans="1:28" ht="12" customHeight="1" x14ac:dyDescent="0.25">
      <c r="A465" s="161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</row>
    <row r="466" spans="1:28" ht="12" customHeight="1" x14ac:dyDescent="0.25">
      <c r="A466" s="161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</row>
    <row r="467" spans="1:28" ht="12" customHeight="1" x14ac:dyDescent="0.25">
      <c r="A467" s="161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</row>
    <row r="468" spans="1:28" ht="12" customHeight="1" x14ac:dyDescent="0.25">
      <c r="A468" s="161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</row>
    <row r="469" spans="1:28" ht="12" customHeight="1" x14ac:dyDescent="0.25">
      <c r="A469" s="161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</row>
    <row r="470" spans="1:28" ht="12" customHeight="1" x14ac:dyDescent="0.25">
      <c r="A470" s="161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</row>
    <row r="471" spans="1:28" ht="12" customHeight="1" x14ac:dyDescent="0.25">
      <c r="A471" s="161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</row>
    <row r="472" spans="1:28" ht="12" customHeight="1" x14ac:dyDescent="0.25">
      <c r="A472" s="161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</row>
    <row r="473" spans="1:28" ht="12" customHeight="1" x14ac:dyDescent="0.25">
      <c r="A473" s="161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</row>
    <row r="474" spans="1:28" ht="12" customHeight="1" x14ac:dyDescent="0.25">
      <c r="A474" s="161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</row>
    <row r="475" spans="1:28" ht="12" customHeight="1" x14ac:dyDescent="0.25">
      <c r="A475" s="161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</row>
    <row r="476" spans="1:28" ht="12" customHeight="1" x14ac:dyDescent="0.25">
      <c r="A476" s="161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</row>
    <row r="477" spans="1:28" ht="12" customHeight="1" x14ac:dyDescent="0.25">
      <c r="A477" s="161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</row>
    <row r="478" spans="1:28" ht="12" customHeight="1" x14ac:dyDescent="0.25">
      <c r="A478" s="161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</row>
    <row r="479" spans="1:28" ht="12" customHeight="1" x14ac:dyDescent="0.25">
      <c r="A479" s="161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</row>
    <row r="480" spans="1:28" ht="12" customHeight="1" x14ac:dyDescent="0.25">
      <c r="A480" s="161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</row>
    <row r="481" spans="1:28" ht="12" customHeight="1" x14ac:dyDescent="0.25">
      <c r="A481" s="161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</row>
    <row r="482" spans="1:28" ht="12" customHeight="1" x14ac:dyDescent="0.25">
      <c r="A482" s="161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</row>
    <row r="483" spans="1:28" ht="12" customHeight="1" x14ac:dyDescent="0.25">
      <c r="A483" s="161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</row>
    <row r="484" spans="1:28" ht="12" customHeight="1" x14ac:dyDescent="0.25">
      <c r="A484" s="161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</row>
    <row r="485" spans="1:28" ht="12" customHeight="1" x14ac:dyDescent="0.25">
      <c r="A485" s="161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</row>
    <row r="486" spans="1:28" ht="12" customHeight="1" x14ac:dyDescent="0.25">
      <c r="A486" s="161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</row>
    <row r="487" spans="1:28" ht="12" customHeight="1" x14ac:dyDescent="0.25">
      <c r="A487" s="161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</row>
    <row r="488" spans="1:28" ht="12" customHeight="1" x14ac:dyDescent="0.25">
      <c r="A488" s="161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</row>
    <row r="489" spans="1:28" ht="12" customHeight="1" x14ac:dyDescent="0.25">
      <c r="A489" s="161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</row>
    <row r="490" spans="1:28" ht="12" customHeight="1" x14ac:dyDescent="0.25">
      <c r="A490" s="161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</row>
    <row r="491" spans="1:28" ht="12" customHeight="1" x14ac:dyDescent="0.25">
      <c r="A491" s="161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</row>
    <row r="492" spans="1:28" ht="12" customHeight="1" x14ac:dyDescent="0.25">
      <c r="A492" s="161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</row>
    <row r="493" spans="1:28" ht="12" customHeight="1" x14ac:dyDescent="0.25">
      <c r="A493" s="161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</row>
    <row r="494" spans="1:28" ht="12" customHeight="1" x14ac:dyDescent="0.25">
      <c r="A494" s="161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</row>
    <row r="495" spans="1:28" ht="12" customHeight="1" x14ac:dyDescent="0.25">
      <c r="A495" s="161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</row>
    <row r="496" spans="1:28" ht="12" customHeight="1" x14ac:dyDescent="0.25">
      <c r="A496" s="161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</row>
    <row r="497" spans="1:28" ht="12" customHeight="1" x14ac:dyDescent="0.25">
      <c r="A497" s="161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</row>
    <row r="498" spans="1:28" ht="12" customHeight="1" x14ac:dyDescent="0.25">
      <c r="A498" s="161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</row>
    <row r="499" spans="1:28" ht="12" customHeight="1" x14ac:dyDescent="0.25">
      <c r="A499" s="161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</row>
    <row r="500" spans="1:28" ht="12" customHeight="1" x14ac:dyDescent="0.25">
      <c r="A500" s="161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</row>
    <row r="501" spans="1:28" ht="12" customHeight="1" x14ac:dyDescent="0.25">
      <c r="A501" s="161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</row>
    <row r="502" spans="1:28" ht="12" customHeight="1" x14ac:dyDescent="0.25">
      <c r="A502" s="161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</row>
    <row r="503" spans="1:28" ht="12" customHeight="1" x14ac:dyDescent="0.25">
      <c r="A503" s="161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</row>
    <row r="504" spans="1:28" ht="12" customHeight="1" x14ac:dyDescent="0.25">
      <c r="A504" s="161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</row>
    <row r="505" spans="1:28" ht="12" customHeight="1" x14ac:dyDescent="0.25">
      <c r="A505" s="161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</row>
    <row r="506" spans="1:28" ht="12" customHeight="1" x14ac:dyDescent="0.25">
      <c r="A506" s="161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</row>
    <row r="507" spans="1:28" ht="12" customHeight="1" x14ac:dyDescent="0.25">
      <c r="A507" s="161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</row>
    <row r="508" spans="1:28" ht="12" customHeight="1" x14ac:dyDescent="0.25">
      <c r="A508" s="161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</row>
    <row r="509" spans="1:28" ht="12" customHeight="1" x14ac:dyDescent="0.25">
      <c r="A509" s="161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</row>
    <row r="510" spans="1:28" ht="12" customHeight="1" x14ac:dyDescent="0.25">
      <c r="A510" s="161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</row>
    <row r="511" spans="1:28" ht="12" customHeight="1" x14ac:dyDescent="0.25">
      <c r="A511" s="161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</row>
    <row r="512" spans="1:28" ht="12" customHeight="1" x14ac:dyDescent="0.25">
      <c r="A512" s="161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</row>
    <row r="513" spans="1:28" ht="12" customHeight="1" x14ac:dyDescent="0.25">
      <c r="A513" s="161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</row>
    <row r="514" spans="1:28" ht="12" customHeight="1" x14ac:dyDescent="0.25">
      <c r="A514" s="161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</row>
    <row r="515" spans="1:28" ht="12" customHeight="1" x14ac:dyDescent="0.25">
      <c r="A515" s="161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</row>
    <row r="516" spans="1:28" ht="12" customHeight="1" x14ac:dyDescent="0.25">
      <c r="A516" s="161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</row>
    <row r="517" spans="1:28" ht="12" customHeight="1" x14ac:dyDescent="0.25">
      <c r="A517" s="161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</row>
    <row r="518" spans="1:28" ht="12" customHeight="1" x14ac:dyDescent="0.25">
      <c r="A518" s="161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</row>
    <row r="519" spans="1:28" ht="12" customHeight="1" x14ac:dyDescent="0.25">
      <c r="A519" s="161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</row>
    <row r="520" spans="1:28" ht="12" customHeight="1" x14ac:dyDescent="0.25">
      <c r="A520" s="161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</row>
    <row r="521" spans="1:28" ht="12" customHeight="1" x14ac:dyDescent="0.25">
      <c r="A521" s="161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</row>
    <row r="522" spans="1:28" ht="12" customHeight="1" x14ac:dyDescent="0.25">
      <c r="A522" s="161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</row>
    <row r="523" spans="1:28" ht="12" customHeight="1" x14ac:dyDescent="0.25">
      <c r="A523" s="161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</row>
    <row r="524" spans="1:28" ht="12" customHeight="1" x14ac:dyDescent="0.25">
      <c r="A524" s="161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</row>
    <row r="525" spans="1:28" ht="12" customHeight="1" x14ac:dyDescent="0.25">
      <c r="A525" s="161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</row>
    <row r="526" spans="1:28" ht="12" customHeight="1" x14ac:dyDescent="0.25">
      <c r="A526" s="161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</row>
    <row r="527" spans="1:28" ht="12" customHeight="1" x14ac:dyDescent="0.25">
      <c r="A527" s="161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</row>
    <row r="528" spans="1:28" ht="12" customHeight="1" x14ac:dyDescent="0.25">
      <c r="A528" s="161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</row>
    <row r="529" spans="1:28" ht="12" customHeight="1" x14ac:dyDescent="0.25">
      <c r="A529" s="161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</row>
    <row r="530" spans="1:28" ht="12" customHeight="1" x14ac:dyDescent="0.25">
      <c r="A530" s="161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</row>
    <row r="531" spans="1:28" ht="12" customHeight="1" x14ac:dyDescent="0.25">
      <c r="A531" s="161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</row>
    <row r="532" spans="1:28" ht="12" customHeight="1" x14ac:dyDescent="0.25">
      <c r="A532" s="161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</row>
    <row r="533" spans="1:28" ht="12" customHeight="1" x14ac:dyDescent="0.25">
      <c r="A533" s="161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</row>
    <row r="534" spans="1:28" ht="12" customHeight="1" x14ac:dyDescent="0.25">
      <c r="A534" s="161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</row>
    <row r="535" spans="1:28" ht="12" customHeight="1" x14ac:dyDescent="0.25">
      <c r="A535" s="161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</row>
    <row r="536" spans="1:28" ht="12" customHeight="1" x14ac:dyDescent="0.25">
      <c r="A536" s="161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</row>
    <row r="537" spans="1:28" ht="12" customHeight="1" x14ac:dyDescent="0.25">
      <c r="A537" s="161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</row>
    <row r="538" spans="1:28" ht="12" customHeight="1" x14ac:dyDescent="0.25">
      <c r="A538" s="161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</row>
    <row r="539" spans="1:28" ht="12" customHeight="1" x14ac:dyDescent="0.25">
      <c r="A539" s="161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</row>
    <row r="540" spans="1:28" ht="12" customHeight="1" x14ac:dyDescent="0.25">
      <c r="A540" s="161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</row>
    <row r="541" spans="1:28" ht="12" customHeight="1" x14ac:dyDescent="0.25">
      <c r="A541" s="161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</row>
    <row r="542" spans="1:28" ht="12" customHeight="1" x14ac:dyDescent="0.25">
      <c r="A542" s="161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</row>
    <row r="543" spans="1:28" ht="12" customHeight="1" x14ac:dyDescent="0.25">
      <c r="A543" s="161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</row>
    <row r="544" spans="1:28" ht="12" customHeight="1" x14ac:dyDescent="0.25">
      <c r="A544" s="161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</row>
    <row r="545" spans="1:28" ht="12" customHeight="1" x14ac:dyDescent="0.25">
      <c r="A545" s="161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</row>
    <row r="546" spans="1:28" ht="12" customHeight="1" x14ac:dyDescent="0.25">
      <c r="A546" s="161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</row>
    <row r="547" spans="1:28" ht="12" customHeight="1" x14ac:dyDescent="0.25">
      <c r="A547" s="161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</row>
    <row r="548" spans="1:28" ht="12" customHeight="1" x14ac:dyDescent="0.25">
      <c r="A548" s="161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</row>
    <row r="549" spans="1:28" ht="12" customHeight="1" x14ac:dyDescent="0.25">
      <c r="A549" s="161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</row>
    <row r="550" spans="1:28" ht="12" customHeight="1" x14ac:dyDescent="0.25">
      <c r="A550" s="161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</row>
    <row r="551" spans="1:28" ht="12" customHeight="1" x14ac:dyDescent="0.25">
      <c r="A551" s="161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</row>
    <row r="552" spans="1:28" ht="12" customHeight="1" x14ac:dyDescent="0.25">
      <c r="A552" s="161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</row>
    <row r="553" spans="1:28" ht="12" customHeight="1" x14ac:dyDescent="0.25">
      <c r="A553" s="161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</row>
    <row r="554" spans="1:28" ht="12" customHeight="1" x14ac:dyDescent="0.25">
      <c r="A554" s="161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</row>
    <row r="555" spans="1:28" ht="12" customHeight="1" x14ac:dyDescent="0.25">
      <c r="A555" s="161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</row>
    <row r="556" spans="1:28" ht="12" customHeight="1" x14ac:dyDescent="0.25">
      <c r="A556" s="161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</row>
    <row r="557" spans="1:28" ht="12" customHeight="1" x14ac:dyDescent="0.25">
      <c r="A557" s="161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</row>
    <row r="558" spans="1:28" ht="12" customHeight="1" x14ac:dyDescent="0.25">
      <c r="A558" s="161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</row>
    <row r="559" spans="1:28" ht="12" customHeight="1" x14ac:dyDescent="0.25">
      <c r="A559" s="161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</row>
    <row r="560" spans="1:28" ht="12" customHeight="1" x14ac:dyDescent="0.25">
      <c r="A560" s="161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</row>
    <row r="561" spans="1:28" ht="12" customHeight="1" x14ac:dyDescent="0.25">
      <c r="A561" s="161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</row>
    <row r="562" spans="1:28" ht="12" customHeight="1" x14ac:dyDescent="0.25">
      <c r="A562" s="161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</row>
    <row r="563" spans="1:28" ht="12" customHeight="1" x14ac:dyDescent="0.25">
      <c r="A563" s="161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</row>
    <row r="564" spans="1:28" ht="12" customHeight="1" x14ac:dyDescent="0.25">
      <c r="A564" s="161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</row>
    <row r="565" spans="1:28" ht="12" customHeight="1" x14ac:dyDescent="0.25">
      <c r="A565" s="161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</row>
    <row r="566" spans="1:28" ht="12" customHeight="1" x14ac:dyDescent="0.25">
      <c r="A566" s="161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</row>
    <row r="567" spans="1:28" ht="12" customHeight="1" x14ac:dyDescent="0.25">
      <c r="A567" s="161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</row>
    <row r="568" spans="1:28" ht="12" customHeight="1" x14ac:dyDescent="0.25">
      <c r="A568" s="161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</row>
    <row r="569" spans="1:28" ht="12" customHeight="1" x14ac:dyDescent="0.25">
      <c r="A569" s="161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</row>
    <row r="570" spans="1:28" ht="12" customHeight="1" x14ac:dyDescent="0.25">
      <c r="A570" s="161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</row>
    <row r="571" spans="1:28" ht="12" customHeight="1" x14ac:dyDescent="0.25">
      <c r="A571" s="161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</row>
    <row r="572" spans="1:28" ht="12" customHeight="1" x14ac:dyDescent="0.25">
      <c r="A572" s="161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</row>
    <row r="573" spans="1:28" ht="12" customHeight="1" x14ac:dyDescent="0.25">
      <c r="A573" s="161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</row>
    <row r="574" spans="1:28" ht="12" customHeight="1" x14ac:dyDescent="0.25">
      <c r="A574" s="161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</row>
    <row r="575" spans="1:28" ht="12" customHeight="1" x14ac:dyDescent="0.25">
      <c r="A575" s="161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</row>
    <row r="576" spans="1:28" ht="12" customHeight="1" x14ac:dyDescent="0.25">
      <c r="A576" s="161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</row>
    <row r="577" spans="1:28" ht="12" customHeight="1" x14ac:dyDescent="0.25">
      <c r="A577" s="161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</row>
    <row r="578" spans="1:28" ht="12" customHeight="1" x14ac:dyDescent="0.25">
      <c r="A578" s="161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</row>
    <row r="579" spans="1:28" ht="12" customHeight="1" x14ac:dyDescent="0.25">
      <c r="A579" s="161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</row>
    <row r="580" spans="1:28" ht="12" customHeight="1" x14ac:dyDescent="0.25">
      <c r="A580" s="161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</row>
    <row r="581" spans="1:28" ht="12" customHeight="1" x14ac:dyDescent="0.25">
      <c r="A581" s="161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</row>
    <row r="582" spans="1:28" ht="12" customHeight="1" x14ac:dyDescent="0.25">
      <c r="A582" s="161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</row>
    <row r="583" spans="1:28" ht="12" customHeight="1" x14ac:dyDescent="0.25">
      <c r="A583" s="161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</row>
    <row r="584" spans="1:28" ht="12" customHeight="1" x14ac:dyDescent="0.25">
      <c r="A584" s="161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</row>
    <row r="585" spans="1:28" ht="12" customHeight="1" x14ac:dyDescent="0.25">
      <c r="A585" s="161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</row>
    <row r="586" spans="1:28" ht="12" customHeight="1" x14ac:dyDescent="0.25">
      <c r="A586" s="161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</row>
    <row r="587" spans="1:28" ht="12" customHeight="1" x14ac:dyDescent="0.25">
      <c r="A587" s="161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</row>
    <row r="588" spans="1:28" ht="12" customHeight="1" x14ac:dyDescent="0.25">
      <c r="A588" s="161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</row>
    <row r="589" spans="1:28" ht="12" customHeight="1" x14ac:dyDescent="0.25">
      <c r="A589" s="161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</row>
    <row r="590" spans="1:28" ht="12" customHeight="1" x14ac:dyDescent="0.25">
      <c r="A590" s="161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</row>
    <row r="591" spans="1:28" ht="12" customHeight="1" x14ac:dyDescent="0.25">
      <c r="A591" s="161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</row>
    <row r="592" spans="1:28" ht="12" customHeight="1" x14ac:dyDescent="0.25">
      <c r="A592" s="161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</row>
    <row r="593" spans="1:28" ht="12" customHeight="1" x14ac:dyDescent="0.25">
      <c r="A593" s="161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</row>
    <row r="594" spans="1:28" ht="12" customHeight="1" x14ac:dyDescent="0.25">
      <c r="A594" s="161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</row>
    <row r="595" spans="1:28" ht="12" customHeight="1" x14ac:dyDescent="0.25">
      <c r="A595" s="161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</row>
    <row r="596" spans="1:28" ht="12" customHeight="1" x14ac:dyDescent="0.25">
      <c r="A596" s="161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</row>
    <row r="597" spans="1:28" ht="12" customHeight="1" x14ac:dyDescent="0.25">
      <c r="A597" s="161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</row>
    <row r="598" spans="1:28" ht="12" customHeight="1" x14ac:dyDescent="0.25">
      <c r="A598" s="161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</row>
    <row r="599" spans="1:28" ht="12" customHeight="1" x14ac:dyDescent="0.25">
      <c r="A599" s="161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</row>
    <row r="600" spans="1:28" ht="12" customHeight="1" x14ac:dyDescent="0.25">
      <c r="A600" s="161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</row>
    <row r="601" spans="1:28" ht="12" customHeight="1" x14ac:dyDescent="0.25">
      <c r="A601" s="161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</row>
    <row r="602" spans="1:28" ht="12" customHeight="1" x14ac:dyDescent="0.25">
      <c r="A602" s="161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</row>
    <row r="603" spans="1:28" ht="12" customHeight="1" x14ac:dyDescent="0.25">
      <c r="A603" s="161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</row>
    <row r="604" spans="1:28" ht="12" customHeight="1" x14ac:dyDescent="0.25">
      <c r="A604" s="161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</row>
    <row r="605" spans="1:28" ht="12" customHeight="1" x14ac:dyDescent="0.25">
      <c r="A605" s="161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</row>
    <row r="606" spans="1:28" ht="12" customHeight="1" x14ac:dyDescent="0.25">
      <c r="A606" s="161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</row>
    <row r="607" spans="1:28" ht="12" customHeight="1" x14ac:dyDescent="0.25">
      <c r="A607" s="161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</row>
    <row r="608" spans="1:28" ht="12" customHeight="1" x14ac:dyDescent="0.25">
      <c r="A608" s="161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</row>
    <row r="609" spans="1:28" ht="12" customHeight="1" x14ac:dyDescent="0.25">
      <c r="A609" s="161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</row>
    <row r="610" spans="1:28" ht="12" customHeight="1" x14ac:dyDescent="0.25">
      <c r="A610" s="161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</row>
    <row r="611" spans="1:28" ht="12" customHeight="1" x14ac:dyDescent="0.25">
      <c r="A611" s="161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</row>
    <row r="612" spans="1:28" ht="12" customHeight="1" x14ac:dyDescent="0.25">
      <c r="A612" s="161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</row>
    <row r="613" spans="1:28" ht="12" customHeight="1" x14ac:dyDescent="0.25">
      <c r="A613" s="161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</row>
    <row r="614" spans="1:28" ht="12" customHeight="1" x14ac:dyDescent="0.25">
      <c r="A614" s="161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</row>
    <row r="615" spans="1:28" ht="12" customHeight="1" x14ac:dyDescent="0.25">
      <c r="A615" s="161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</row>
    <row r="616" spans="1:28" ht="12" customHeight="1" x14ac:dyDescent="0.25">
      <c r="A616" s="161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</row>
    <row r="617" spans="1:28" ht="12" customHeight="1" x14ac:dyDescent="0.25">
      <c r="A617" s="161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</row>
    <row r="618" spans="1:28" ht="12" customHeight="1" x14ac:dyDescent="0.25">
      <c r="A618" s="161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</row>
    <row r="619" spans="1:28" ht="12" customHeight="1" x14ac:dyDescent="0.25">
      <c r="A619" s="161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</row>
    <row r="620" spans="1:28" ht="12" customHeight="1" x14ac:dyDescent="0.25">
      <c r="A620" s="161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</row>
    <row r="621" spans="1:28" ht="12" customHeight="1" x14ac:dyDescent="0.25">
      <c r="A621" s="161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</row>
    <row r="622" spans="1:28" ht="12" customHeight="1" x14ac:dyDescent="0.25">
      <c r="A622" s="161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</row>
    <row r="623" spans="1:28" ht="12" customHeight="1" x14ac:dyDescent="0.25">
      <c r="A623" s="161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</row>
    <row r="624" spans="1:28" ht="12" customHeight="1" x14ac:dyDescent="0.25">
      <c r="A624" s="161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</row>
    <row r="625" spans="1:28" ht="12" customHeight="1" x14ac:dyDescent="0.25">
      <c r="A625" s="161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</row>
    <row r="626" spans="1:28" ht="12" customHeight="1" x14ac:dyDescent="0.25">
      <c r="A626" s="161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</row>
    <row r="627" spans="1:28" ht="12" customHeight="1" x14ac:dyDescent="0.25">
      <c r="A627" s="161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</row>
    <row r="628" spans="1:28" ht="12" customHeight="1" x14ac:dyDescent="0.25">
      <c r="A628" s="161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</row>
    <row r="629" spans="1:28" ht="12" customHeight="1" x14ac:dyDescent="0.25">
      <c r="A629" s="161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</row>
    <row r="630" spans="1:28" ht="12" customHeight="1" x14ac:dyDescent="0.25">
      <c r="A630" s="161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</row>
    <row r="631" spans="1:28" ht="12" customHeight="1" x14ac:dyDescent="0.25">
      <c r="A631" s="161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</row>
    <row r="632" spans="1:28" ht="12" customHeight="1" x14ac:dyDescent="0.25">
      <c r="A632" s="161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</row>
    <row r="633" spans="1:28" ht="12" customHeight="1" x14ac:dyDescent="0.25">
      <c r="A633" s="161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</row>
    <row r="634" spans="1:28" ht="12" customHeight="1" x14ac:dyDescent="0.25">
      <c r="A634" s="161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</row>
    <row r="635" spans="1:28" ht="12" customHeight="1" x14ac:dyDescent="0.25">
      <c r="A635" s="161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</row>
    <row r="636" spans="1:28" ht="12" customHeight="1" x14ac:dyDescent="0.25">
      <c r="A636" s="161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</row>
    <row r="637" spans="1:28" ht="12" customHeight="1" x14ac:dyDescent="0.25">
      <c r="A637" s="161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</row>
    <row r="638" spans="1:28" ht="12" customHeight="1" x14ac:dyDescent="0.25">
      <c r="A638" s="161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</row>
    <row r="639" spans="1:28" ht="12" customHeight="1" x14ac:dyDescent="0.25">
      <c r="A639" s="161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</row>
    <row r="640" spans="1:28" ht="12" customHeight="1" x14ac:dyDescent="0.25">
      <c r="A640" s="161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</row>
    <row r="641" spans="1:28" ht="12" customHeight="1" x14ac:dyDescent="0.25">
      <c r="A641" s="161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</row>
    <row r="642" spans="1:28" ht="12" customHeight="1" x14ac:dyDescent="0.25">
      <c r="A642" s="161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</row>
    <row r="643" spans="1:28" ht="12" customHeight="1" x14ac:dyDescent="0.25">
      <c r="A643" s="161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</row>
    <row r="644" spans="1:28" ht="12" customHeight="1" x14ac:dyDescent="0.25">
      <c r="A644" s="161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</row>
    <row r="645" spans="1:28" ht="12" customHeight="1" x14ac:dyDescent="0.25">
      <c r="A645" s="161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</row>
    <row r="646" spans="1:28" ht="12" customHeight="1" x14ac:dyDescent="0.25">
      <c r="A646" s="161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</row>
    <row r="647" spans="1:28" ht="12" customHeight="1" x14ac:dyDescent="0.25">
      <c r="A647" s="161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</row>
    <row r="648" spans="1:28" ht="12" customHeight="1" x14ac:dyDescent="0.25">
      <c r="A648" s="161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</row>
    <row r="649" spans="1:28" ht="12" customHeight="1" x14ac:dyDescent="0.25">
      <c r="A649" s="161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</row>
    <row r="650" spans="1:28" ht="12" customHeight="1" x14ac:dyDescent="0.25">
      <c r="A650" s="161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</row>
    <row r="651" spans="1:28" ht="12" customHeight="1" x14ac:dyDescent="0.25">
      <c r="A651" s="161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</row>
    <row r="652" spans="1:28" ht="12" customHeight="1" x14ac:dyDescent="0.25">
      <c r="A652" s="161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</row>
    <row r="653" spans="1:28" ht="12" customHeight="1" x14ac:dyDescent="0.25">
      <c r="A653" s="161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</row>
    <row r="654" spans="1:28" ht="12" customHeight="1" x14ac:dyDescent="0.25">
      <c r="A654" s="161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</row>
    <row r="655" spans="1:28" ht="12" customHeight="1" x14ac:dyDescent="0.25">
      <c r="A655" s="161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</row>
    <row r="656" spans="1:28" ht="12" customHeight="1" x14ac:dyDescent="0.25">
      <c r="A656" s="161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</row>
    <row r="657" spans="1:28" ht="12" customHeight="1" x14ac:dyDescent="0.25">
      <c r="A657" s="161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</row>
    <row r="658" spans="1:28" ht="12" customHeight="1" x14ac:dyDescent="0.25">
      <c r="A658" s="161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</row>
    <row r="659" spans="1:28" ht="12" customHeight="1" x14ac:dyDescent="0.25">
      <c r="A659" s="161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</row>
    <row r="660" spans="1:28" ht="12" customHeight="1" x14ac:dyDescent="0.25">
      <c r="A660" s="161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</row>
    <row r="661" spans="1:28" ht="12" customHeight="1" x14ac:dyDescent="0.25">
      <c r="A661" s="161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</row>
    <row r="662" spans="1:28" ht="12" customHeight="1" x14ac:dyDescent="0.25">
      <c r="A662" s="161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</row>
    <row r="663" spans="1:28" ht="12" customHeight="1" x14ac:dyDescent="0.25">
      <c r="A663" s="161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</row>
    <row r="664" spans="1:28" ht="12" customHeight="1" x14ac:dyDescent="0.25">
      <c r="A664" s="161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</row>
    <row r="665" spans="1:28" ht="12" customHeight="1" x14ac:dyDescent="0.25">
      <c r="A665" s="161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</row>
    <row r="666" spans="1:28" ht="12" customHeight="1" x14ac:dyDescent="0.25">
      <c r="A666" s="161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</row>
    <row r="667" spans="1:28" ht="12" customHeight="1" x14ac:dyDescent="0.25">
      <c r="A667" s="161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</row>
    <row r="668" spans="1:28" ht="12" customHeight="1" x14ac:dyDescent="0.25">
      <c r="A668" s="161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</row>
    <row r="669" spans="1:28" ht="12" customHeight="1" x14ac:dyDescent="0.25">
      <c r="A669" s="161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</row>
    <row r="670" spans="1:28" ht="12" customHeight="1" x14ac:dyDescent="0.25">
      <c r="A670" s="161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</row>
    <row r="671" spans="1:28" ht="12" customHeight="1" x14ac:dyDescent="0.25">
      <c r="A671" s="161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</row>
    <row r="672" spans="1:28" ht="12" customHeight="1" x14ac:dyDescent="0.25">
      <c r="A672" s="161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</row>
    <row r="673" spans="1:28" ht="12" customHeight="1" x14ac:dyDescent="0.25">
      <c r="A673" s="161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</row>
    <row r="674" spans="1:28" ht="12" customHeight="1" x14ac:dyDescent="0.25">
      <c r="A674" s="161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</row>
    <row r="675" spans="1:28" ht="12" customHeight="1" x14ac:dyDescent="0.25">
      <c r="A675" s="161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</row>
    <row r="676" spans="1:28" ht="12" customHeight="1" x14ac:dyDescent="0.25">
      <c r="A676" s="161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</row>
    <row r="677" spans="1:28" ht="12" customHeight="1" x14ac:dyDescent="0.25">
      <c r="A677" s="161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</row>
    <row r="678" spans="1:28" ht="12" customHeight="1" x14ac:dyDescent="0.25">
      <c r="A678" s="161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</row>
    <row r="679" spans="1:28" ht="12" customHeight="1" x14ac:dyDescent="0.25">
      <c r="A679" s="161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</row>
    <row r="680" spans="1:28" ht="12" customHeight="1" x14ac:dyDescent="0.25">
      <c r="A680" s="161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</row>
    <row r="681" spans="1:28" ht="12" customHeight="1" x14ac:dyDescent="0.25">
      <c r="A681" s="161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</row>
    <row r="682" spans="1:28" ht="12" customHeight="1" x14ac:dyDescent="0.25">
      <c r="A682" s="161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</row>
    <row r="683" spans="1:28" ht="12" customHeight="1" x14ac:dyDescent="0.25">
      <c r="A683" s="161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</row>
    <row r="684" spans="1:28" ht="12" customHeight="1" x14ac:dyDescent="0.25">
      <c r="A684" s="161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</row>
    <row r="685" spans="1:28" ht="12" customHeight="1" x14ac:dyDescent="0.25">
      <c r="A685" s="161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</row>
    <row r="686" spans="1:28" ht="12" customHeight="1" x14ac:dyDescent="0.25">
      <c r="A686" s="161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</row>
    <row r="687" spans="1:28" ht="12" customHeight="1" x14ac:dyDescent="0.25">
      <c r="A687" s="161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</row>
    <row r="688" spans="1:28" ht="12" customHeight="1" x14ac:dyDescent="0.25">
      <c r="A688" s="161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</row>
    <row r="689" spans="1:28" ht="12" customHeight="1" x14ac:dyDescent="0.25">
      <c r="A689" s="161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</row>
    <row r="690" spans="1:28" ht="12" customHeight="1" x14ac:dyDescent="0.25">
      <c r="A690" s="161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</row>
    <row r="691" spans="1:28" ht="12" customHeight="1" x14ac:dyDescent="0.25">
      <c r="A691" s="161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</row>
    <row r="692" spans="1:28" ht="12" customHeight="1" x14ac:dyDescent="0.25">
      <c r="A692" s="161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</row>
    <row r="693" spans="1:28" ht="12" customHeight="1" x14ac:dyDescent="0.25">
      <c r="A693" s="161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</row>
    <row r="694" spans="1:28" ht="12" customHeight="1" x14ac:dyDescent="0.25">
      <c r="A694" s="161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</row>
    <row r="695" spans="1:28" ht="12" customHeight="1" x14ac:dyDescent="0.25">
      <c r="A695" s="161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</row>
    <row r="696" spans="1:28" ht="12" customHeight="1" x14ac:dyDescent="0.25">
      <c r="A696" s="161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</row>
    <row r="697" spans="1:28" ht="12" customHeight="1" x14ac:dyDescent="0.25">
      <c r="A697" s="161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</row>
    <row r="698" spans="1:28" ht="12" customHeight="1" x14ac:dyDescent="0.25">
      <c r="A698" s="161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</row>
    <row r="699" spans="1:28" ht="12" customHeight="1" x14ac:dyDescent="0.25">
      <c r="A699" s="161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</row>
    <row r="700" spans="1:28" ht="12" customHeight="1" x14ac:dyDescent="0.25">
      <c r="A700" s="161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</row>
    <row r="701" spans="1:28" ht="12" customHeight="1" x14ac:dyDescent="0.25">
      <c r="A701" s="161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</row>
    <row r="702" spans="1:28" ht="12" customHeight="1" x14ac:dyDescent="0.25">
      <c r="A702" s="161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</row>
    <row r="703" spans="1:28" ht="12" customHeight="1" x14ac:dyDescent="0.25">
      <c r="A703" s="161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</row>
    <row r="704" spans="1:28" ht="12" customHeight="1" x14ac:dyDescent="0.25">
      <c r="A704" s="161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</row>
    <row r="705" spans="1:28" ht="12" customHeight="1" x14ac:dyDescent="0.25">
      <c r="A705" s="161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</row>
    <row r="706" spans="1:28" ht="12" customHeight="1" x14ac:dyDescent="0.25">
      <c r="A706" s="161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</row>
    <row r="707" spans="1:28" ht="12" customHeight="1" x14ac:dyDescent="0.25">
      <c r="A707" s="161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</row>
    <row r="708" spans="1:28" ht="12" customHeight="1" x14ac:dyDescent="0.25">
      <c r="A708" s="161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</row>
    <row r="709" spans="1:28" ht="12" customHeight="1" x14ac:dyDescent="0.25">
      <c r="A709" s="161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</row>
    <row r="710" spans="1:28" ht="12" customHeight="1" x14ac:dyDescent="0.25">
      <c r="A710" s="161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</row>
    <row r="711" spans="1:28" ht="12" customHeight="1" x14ac:dyDescent="0.25">
      <c r="A711" s="161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</row>
    <row r="712" spans="1:28" ht="12" customHeight="1" x14ac:dyDescent="0.25">
      <c r="A712" s="161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</row>
    <row r="713" spans="1:28" ht="12" customHeight="1" x14ac:dyDescent="0.25">
      <c r="A713" s="161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</row>
    <row r="714" spans="1:28" ht="12" customHeight="1" x14ac:dyDescent="0.25">
      <c r="A714" s="161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</row>
    <row r="715" spans="1:28" ht="12" customHeight="1" x14ac:dyDescent="0.25">
      <c r="A715" s="161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</row>
    <row r="716" spans="1:28" ht="12" customHeight="1" x14ac:dyDescent="0.25">
      <c r="A716" s="161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</row>
    <row r="717" spans="1:28" ht="12" customHeight="1" x14ac:dyDescent="0.25">
      <c r="A717" s="161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</row>
    <row r="718" spans="1:28" ht="12" customHeight="1" x14ac:dyDescent="0.25">
      <c r="A718" s="161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</row>
    <row r="719" spans="1:28" ht="12" customHeight="1" x14ac:dyDescent="0.25">
      <c r="A719" s="161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</row>
    <row r="720" spans="1:28" ht="12" customHeight="1" x14ac:dyDescent="0.25">
      <c r="A720" s="161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</row>
    <row r="721" spans="1:28" ht="12" customHeight="1" x14ac:dyDescent="0.25">
      <c r="A721" s="161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</row>
    <row r="722" spans="1:28" ht="12" customHeight="1" x14ac:dyDescent="0.25">
      <c r="A722" s="161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</row>
    <row r="723" spans="1:28" ht="12" customHeight="1" x14ac:dyDescent="0.25">
      <c r="A723" s="161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</row>
    <row r="724" spans="1:28" ht="12" customHeight="1" x14ac:dyDescent="0.25">
      <c r="A724" s="161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</row>
    <row r="725" spans="1:28" ht="12" customHeight="1" x14ac:dyDescent="0.25">
      <c r="A725" s="161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</row>
    <row r="726" spans="1:28" ht="12" customHeight="1" x14ac:dyDescent="0.25">
      <c r="A726" s="161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</row>
    <row r="727" spans="1:28" ht="12" customHeight="1" x14ac:dyDescent="0.25">
      <c r="A727" s="161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</row>
    <row r="728" spans="1:28" ht="12" customHeight="1" x14ac:dyDescent="0.25">
      <c r="A728" s="161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</row>
    <row r="729" spans="1:28" ht="12" customHeight="1" x14ac:dyDescent="0.25">
      <c r="A729" s="161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</row>
    <row r="730" spans="1:28" ht="12" customHeight="1" x14ac:dyDescent="0.25">
      <c r="A730" s="161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</row>
    <row r="731" spans="1:28" ht="12" customHeight="1" x14ac:dyDescent="0.25">
      <c r="A731" s="161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</row>
    <row r="732" spans="1:28" ht="12" customHeight="1" x14ac:dyDescent="0.25">
      <c r="A732" s="161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</row>
    <row r="733" spans="1:28" ht="12" customHeight="1" x14ac:dyDescent="0.25">
      <c r="A733" s="161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</row>
    <row r="734" spans="1:28" ht="12" customHeight="1" x14ac:dyDescent="0.25">
      <c r="A734" s="161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</row>
    <row r="735" spans="1:28" ht="12" customHeight="1" x14ac:dyDescent="0.25">
      <c r="A735" s="161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</row>
    <row r="736" spans="1:28" ht="12" customHeight="1" x14ac:dyDescent="0.25">
      <c r="A736" s="161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</row>
    <row r="737" spans="1:28" ht="12" customHeight="1" x14ac:dyDescent="0.25">
      <c r="A737" s="161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</row>
    <row r="738" spans="1:28" ht="12" customHeight="1" x14ac:dyDescent="0.25">
      <c r="A738" s="161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</row>
    <row r="739" spans="1:28" ht="12" customHeight="1" x14ac:dyDescent="0.25">
      <c r="A739" s="161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</row>
    <row r="740" spans="1:28" ht="12" customHeight="1" x14ac:dyDescent="0.25">
      <c r="A740" s="161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</row>
    <row r="741" spans="1:28" ht="12" customHeight="1" x14ac:dyDescent="0.25">
      <c r="A741" s="161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</row>
    <row r="742" spans="1:28" ht="12" customHeight="1" x14ac:dyDescent="0.25">
      <c r="A742" s="161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</row>
    <row r="743" spans="1:28" ht="12" customHeight="1" x14ac:dyDescent="0.25">
      <c r="A743" s="161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</row>
    <row r="744" spans="1:28" ht="12" customHeight="1" x14ac:dyDescent="0.25">
      <c r="A744" s="161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</row>
    <row r="745" spans="1:28" ht="12" customHeight="1" x14ac:dyDescent="0.25">
      <c r="A745" s="161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</row>
    <row r="746" spans="1:28" ht="12" customHeight="1" x14ac:dyDescent="0.25">
      <c r="A746" s="161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</row>
    <row r="747" spans="1:28" ht="12" customHeight="1" x14ac:dyDescent="0.25">
      <c r="A747" s="161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</row>
    <row r="748" spans="1:28" ht="12" customHeight="1" x14ac:dyDescent="0.25">
      <c r="A748" s="161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</row>
    <row r="749" spans="1:28" ht="12" customHeight="1" x14ac:dyDescent="0.25">
      <c r="A749" s="161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</row>
    <row r="750" spans="1:28" ht="12" customHeight="1" x14ac:dyDescent="0.25">
      <c r="A750" s="161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</row>
    <row r="751" spans="1:28" ht="12" customHeight="1" x14ac:dyDescent="0.25">
      <c r="A751" s="161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</row>
    <row r="752" spans="1:28" ht="12" customHeight="1" x14ac:dyDescent="0.25">
      <c r="A752" s="161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</row>
    <row r="753" spans="1:28" ht="12" customHeight="1" x14ac:dyDescent="0.25">
      <c r="A753" s="161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</row>
    <row r="754" spans="1:28" ht="12" customHeight="1" x14ac:dyDescent="0.25">
      <c r="A754" s="161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</row>
    <row r="755" spans="1:28" ht="12" customHeight="1" x14ac:dyDescent="0.25">
      <c r="A755" s="161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</row>
    <row r="756" spans="1:28" ht="12" customHeight="1" x14ac:dyDescent="0.25">
      <c r="A756" s="161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</row>
    <row r="757" spans="1:28" ht="12" customHeight="1" x14ac:dyDescent="0.25">
      <c r="A757" s="161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</row>
    <row r="758" spans="1:28" ht="12" customHeight="1" x14ac:dyDescent="0.25">
      <c r="A758" s="161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</row>
    <row r="759" spans="1:28" ht="12" customHeight="1" x14ac:dyDescent="0.25">
      <c r="A759" s="161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</row>
    <row r="760" spans="1:28" ht="12" customHeight="1" x14ac:dyDescent="0.25">
      <c r="A760" s="161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</row>
    <row r="761" spans="1:28" ht="12" customHeight="1" x14ac:dyDescent="0.25">
      <c r="A761" s="161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</row>
    <row r="762" spans="1:28" ht="12" customHeight="1" x14ac:dyDescent="0.25">
      <c r="A762" s="161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</row>
    <row r="763" spans="1:28" ht="12" customHeight="1" x14ac:dyDescent="0.25">
      <c r="A763" s="161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</row>
    <row r="764" spans="1:28" ht="12" customHeight="1" x14ac:dyDescent="0.25">
      <c r="A764" s="161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</row>
    <row r="765" spans="1:28" ht="12" customHeight="1" x14ac:dyDescent="0.25">
      <c r="A765" s="161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</row>
    <row r="766" spans="1:28" ht="12" customHeight="1" x14ac:dyDescent="0.25">
      <c r="A766" s="161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</row>
    <row r="767" spans="1:28" ht="12" customHeight="1" x14ac:dyDescent="0.25">
      <c r="A767" s="161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</row>
    <row r="768" spans="1:28" ht="12" customHeight="1" x14ac:dyDescent="0.25">
      <c r="A768" s="161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</row>
    <row r="769" spans="1:28" ht="12" customHeight="1" x14ac:dyDescent="0.25">
      <c r="A769" s="161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</row>
    <row r="770" spans="1:28" ht="12" customHeight="1" x14ac:dyDescent="0.25">
      <c r="A770" s="161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</row>
    <row r="771" spans="1:28" ht="12" customHeight="1" x14ac:dyDescent="0.25">
      <c r="A771" s="161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</row>
    <row r="772" spans="1:28" ht="12" customHeight="1" x14ac:dyDescent="0.25">
      <c r="A772" s="161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</row>
    <row r="773" spans="1:28" ht="12" customHeight="1" x14ac:dyDescent="0.25">
      <c r="A773" s="161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</row>
    <row r="774" spans="1:28" ht="12" customHeight="1" x14ac:dyDescent="0.25">
      <c r="A774" s="161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</row>
    <row r="775" spans="1:28" ht="12" customHeight="1" x14ac:dyDescent="0.25">
      <c r="A775" s="161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</row>
    <row r="776" spans="1:28" ht="12" customHeight="1" x14ac:dyDescent="0.25">
      <c r="A776" s="161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</row>
    <row r="777" spans="1:28" ht="12" customHeight="1" x14ac:dyDescent="0.25">
      <c r="A777" s="161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</row>
    <row r="778" spans="1:28" ht="12" customHeight="1" x14ac:dyDescent="0.25">
      <c r="A778" s="161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</row>
    <row r="779" spans="1:28" ht="12" customHeight="1" x14ac:dyDescent="0.25">
      <c r="A779" s="161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</row>
    <row r="780" spans="1:28" ht="12" customHeight="1" x14ac:dyDescent="0.25">
      <c r="A780" s="161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</row>
    <row r="781" spans="1:28" ht="12" customHeight="1" x14ac:dyDescent="0.25">
      <c r="A781" s="161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</row>
    <row r="782" spans="1:28" ht="12" customHeight="1" x14ac:dyDescent="0.25">
      <c r="A782" s="161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</row>
    <row r="783" spans="1:28" ht="12" customHeight="1" x14ac:dyDescent="0.25">
      <c r="A783" s="161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</row>
    <row r="784" spans="1:28" ht="12" customHeight="1" x14ac:dyDescent="0.25">
      <c r="A784" s="161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</row>
    <row r="785" spans="1:28" ht="12" customHeight="1" x14ac:dyDescent="0.25">
      <c r="A785" s="161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</row>
    <row r="786" spans="1:28" ht="12" customHeight="1" x14ac:dyDescent="0.25">
      <c r="A786" s="161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</row>
    <row r="787" spans="1:28" ht="12" customHeight="1" x14ac:dyDescent="0.25">
      <c r="A787" s="161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</row>
    <row r="788" spans="1:28" ht="12" customHeight="1" x14ac:dyDescent="0.25">
      <c r="A788" s="161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</row>
    <row r="789" spans="1:28" ht="12" customHeight="1" x14ac:dyDescent="0.25">
      <c r="A789" s="161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</row>
    <row r="790" spans="1:28" ht="12" customHeight="1" x14ac:dyDescent="0.25">
      <c r="A790" s="161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</row>
    <row r="791" spans="1:28" ht="12" customHeight="1" x14ac:dyDescent="0.25">
      <c r="A791" s="161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</row>
    <row r="792" spans="1:28" ht="12" customHeight="1" x14ac:dyDescent="0.25">
      <c r="A792" s="161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</row>
    <row r="793" spans="1:28" ht="12" customHeight="1" x14ac:dyDescent="0.25">
      <c r="A793" s="161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</row>
    <row r="794" spans="1:28" ht="12" customHeight="1" x14ac:dyDescent="0.25">
      <c r="A794" s="161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</row>
    <row r="795" spans="1:28" ht="12" customHeight="1" x14ac:dyDescent="0.25">
      <c r="A795" s="161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</row>
    <row r="796" spans="1:28" ht="12" customHeight="1" x14ac:dyDescent="0.25">
      <c r="A796" s="161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</row>
    <row r="797" spans="1:28" ht="12" customHeight="1" x14ac:dyDescent="0.25">
      <c r="A797" s="161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</row>
    <row r="798" spans="1:28" ht="12" customHeight="1" x14ac:dyDescent="0.25">
      <c r="A798" s="161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</row>
    <row r="799" spans="1:28" ht="12" customHeight="1" x14ac:dyDescent="0.25">
      <c r="A799" s="161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</row>
    <row r="800" spans="1:28" ht="12" customHeight="1" x14ac:dyDescent="0.25">
      <c r="A800" s="161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</row>
    <row r="801" spans="1:28" ht="12" customHeight="1" x14ac:dyDescent="0.25">
      <c r="A801" s="161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</row>
    <row r="802" spans="1:28" ht="12" customHeight="1" x14ac:dyDescent="0.25">
      <c r="A802" s="161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</row>
    <row r="803" spans="1:28" ht="12" customHeight="1" x14ac:dyDescent="0.25">
      <c r="A803" s="161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</row>
    <row r="804" spans="1:28" ht="12" customHeight="1" x14ac:dyDescent="0.25">
      <c r="A804" s="161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</row>
    <row r="805" spans="1:28" ht="12" customHeight="1" x14ac:dyDescent="0.25">
      <c r="A805" s="161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</row>
    <row r="806" spans="1:28" ht="12" customHeight="1" x14ac:dyDescent="0.25">
      <c r="A806" s="161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</row>
    <row r="807" spans="1:28" ht="12" customHeight="1" x14ac:dyDescent="0.25">
      <c r="A807" s="161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</row>
    <row r="808" spans="1:28" ht="12" customHeight="1" x14ac:dyDescent="0.25">
      <c r="A808" s="161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</row>
    <row r="809" spans="1:28" ht="12" customHeight="1" x14ac:dyDescent="0.25">
      <c r="A809" s="161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</row>
    <row r="810" spans="1:28" ht="12" customHeight="1" x14ac:dyDescent="0.25">
      <c r="A810" s="161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</row>
    <row r="811" spans="1:28" ht="12" customHeight="1" x14ac:dyDescent="0.25">
      <c r="A811" s="161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</row>
    <row r="812" spans="1:28" ht="12" customHeight="1" x14ac:dyDescent="0.25">
      <c r="A812" s="161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</row>
    <row r="813" spans="1:28" ht="12" customHeight="1" x14ac:dyDescent="0.25">
      <c r="A813" s="161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</row>
    <row r="814" spans="1:28" ht="12" customHeight="1" x14ac:dyDescent="0.25">
      <c r="A814" s="161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</row>
    <row r="815" spans="1:28" ht="12" customHeight="1" x14ac:dyDescent="0.25">
      <c r="A815" s="161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</row>
    <row r="816" spans="1:28" ht="12" customHeight="1" x14ac:dyDescent="0.25">
      <c r="A816" s="161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</row>
    <row r="817" spans="1:28" ht="12" customHeight="1" x14ac:dyDescent="0.25">
      <c r="A817" s="161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</row>
    <row r="818" spans="1:28" ht="12" customHeight="1" x14ac:dyDescent="0.25">
      <c r="A818" s="161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</row>
    <row r="819" spans="1:28" ht="12" customHeight="1" x14ac:dyDescent="0.25">
      <c r="A819" s="161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</row>
    <row r="820" spans="1:28" ht="12" customHeight="1" x14ac:dyDescent="0.25">
      <c r="A820" s="161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</row>
    <row r="821" spans="1:28" ht="12" customHeight="1" x14ac:dyDescent="0.25">
      <c r="A821" s="161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</row>
    <row r="822" spans="1:28" ht="12" customHeight="1" x14ac:dyDescent="0.25">
      <c r="A822" s="161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</row>
    <row r="823" spans="1:28" ht="12" customHeight="1" x14ac:dyDescent="0.25">
      <c r="A823" s="161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</row>
    <row r="824" spans="1:28" ht="12" customHeight="1" x14ac:dyDescent="0.25">
      <c r="A824" s="161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</row>
    <row r="825" spans="1:28" ht="12" customHeight="1" x14ac:dyDescent="0.25">
      <c r="A825" s="161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</row>
    <row r="826" spans="1:28" ht="12" customHeight="1" x14ac:dyDescent="0.25">
      <c r="A826" s="161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</row>
    <row r="827" spans="1:28" ht="12" customHeight="1" x14ac:dyDescent="0.25">
      <c r="A827" s="161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</row>
    <row r="828" spans="1:28" ht="12" customHeight="1" x14ac:dyDescent="0.25">
      <c r="A828" s="161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</row>
    <row r="829" spans="1:28" ht="12" customHeight="1" x14ac:dyDescent="0.25">
      <c r="A829" s="161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</row>
    <row r="830" spans="1:28" ht="12" customHeight="1" x14ac:dyDescent="0.25">
      <c r="A830" s="161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</row>
    <row r="831" spans="1:28" ht="12" customHeight="1" x14ac:dyDescent="0.25">
      <c r="A831" s="161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</row>
    <row r="832" spans="1:28" ht="12" customHeight="1" x14ac:dyDescent="0.25">
      <c r="A832" s="161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</row>
    <row r="833" spans="1:28" ht="12" customHeight="1" x14ac:dyDescent="0.25">
      <c r="A833" s="161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</row>
    <row r="834" spans="1:28" ht="12" customHeight="1" x14ac:dyDescent="0.25">
      <c r="A834" s="161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</row>
    <row r="835" spans="1:28" ht="12" customHeight="1" x14ac:dyDescent="0.25">
      <c r="A835" s="161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</row>
    <row r="836" spans="1:28" ht="12" customHeight="1" x14ac:dyDescent="0.25">
      <c r="A836" s="161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</row>
    <row r="837" spans="1:28" ht="12" customHeight="1" x14ac:dyDescent="0.25">
      <c r="A837" s="161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</row>
    <row r="838" spans="1:28" ht="12" customHeight="1" x14ac:dyDescent="0.25">
      <c r="A838" s="161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</row>
    <row r="839" spans="1:28" ht="12" customHeight="1" x14ac:dyDescent="0.25">
      <c r="A839" s="161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</row>
    <row r="840" spans="1:28" ht="12" customHeight="1" x14ac:dyDescent="0.25">
      <c r="A840" s="161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</row>
    <row r="841" spans="1:28" ht="12" customHeight="1" x14ac:dyDescent="0.25">
      <c r="A841" s="161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</row>
    <row r="842" spans="1:28" ht="12" customHeight="1" x14ac:dyDescent="0.25">
      <c r="A842" s="161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</row>
    <row r="843" spans="1:28" ht="12" customHeight="1" x14ac:dyDescent="0.25">
      <c r="A843" s="161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</row>
    <row r="844" spans="1:28" ht="12" customHeight="1" x14ac:dyDescent="0.25">
      <c r="A844" s="161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</row>
    <row r="845" spans="1:28" ht="12" customHeight="1" x14ac:dyDescent="0.25">
      <c r="A845" s="161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</row>
    <row r="846" spans="1:28" ht="12" customHeight="1" x14ac:dyDescent="0.25">
      <c r="A846" s="161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</row>
    <row r="847" spans="1:28" ht="12" customHeight="1" x14ac:dyDescent="0.25">
      <c r="A847" s="161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</row>
    <row r="848" spans="1:28" ht="12" customHeight="1" x14ac:dyDescent="0.25">
      <c r="A848" s="161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</row>
    <row r="849" spans="1:28" ht="12" customHeight="1" x14ac:dyDescent="0.25">
      <c r="A849" s="161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</row>
    <row r="850" spans="1:28" ht="12" customHeight="1" x14ac:dyDescent="0.25">
      <c r="A850" s="161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</row>
    <row r="851" spans="1:28" ht="12" customHeight="1" x14ac:dyDescent="0.25">
      <c r="A851" s="161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</row>
    <row r="852" spans="1:28" ht="12" customHeight="1" x14ac:dyDescent="0.25">
      <c r="A852" s="161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</row>
    <row r="853" spans="1:28" ht="12" customHeight="1" x14ac:dyDescent="0.25">
      <c r="A853" s="161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</row>
    <row r="854" spans="1:28" ht="12" customHeight="1" x14ac:dyDescent="0.25">
      <c r="A854" s="161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</row>
    <row r="855" spans="1:28" ht="12" customHeight="1" x14ac:dyDescent="0.25">
      <c r="A855" s="161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</row>
    <row r="856" spans="1:28" ht="12" customHeight="1" x14ac:dyDescent="0.25">
      <c r="A856" s="161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</row>
    <row r="857" spans="1:28" ht="12" customHeight="1" x14ac:dyDescent="0.25">
      <c r="A857" s="161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</row>
    <row r="858" spans="1:28" ht="12" customHeight="1" x14ac:dyDescent="0.25">
      <c r="A858" s="161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</row>
    <row r="859" spans="1:28" ht="12" customHeight="1" x14ac:dyDescent="0.25">
      <c r="A859" s="161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</row>
    <row r="860" spans="1:28" ht="12" customHeight="1" x14ac:dyDescent="0.25">
      <c r="A860" s="161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</row>
    <row r="861" spans="1:28" ht="12" customHeight="1" x14ac:dyDescent="0.25">
      <c r="A861" s="161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</row>
    <row r="862" spans="1:28" ht="12" customHeight="1" x14ac:dyDescent="0.25">
      <c r="A862" s="161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</row>
    <row r="863" spans="1:28" ht="12" customHeight="1" x14ac:dyDescent="0.25">
      <c r="A863" s="161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</row>
    <row r="864" spans="1:28" ht="12" customHeight="1" x14ac:dyDescent="0.25">
      <c r="A864" s="161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</row>
    <row r="865" spans="1:28" ht="12" customHeight="1" x14ac:dyDescent="0.25">
      <c r="A865" s="161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</row>
    <row r="866" spans="1:28" ht="12" customHeight="1" x14ac:dyDescent="0.25">
      <c r="A866" s="161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</row>
    <row r="867" spans="1:28" ht="12" customHeight="1" x14ac:dyDescent="0.25">
      <c r="A867" s="161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</row>
    <row r="868" spans="1:28" ht="12" customHeight="1" x14ac:dyDescent="0.25">
      <c r="A868" s="161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</row>
    <row r="869" spans="1:28" ht="12" customHeight="1" x14ac:dyDescent="0.25">
      <c r="A869" s="161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</row>
    <row r="870" spans="1:28" ht="12" customHeight="1" x14ac:dyDescent="0.25">
      <c r="A870" s="161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</row>
    <row r="871" spans="1:28" ht="12" customHeight="1" x14ac:dyDescent="0.25">
      <c r="A871" s="161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</row>
    <row r="872" spans="1:28" ht="12" customHeight="1" x14ac:dyDescent="0.25">
      <c r="A872" s="161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</row>
    <row r="873" spans="1:28" ht="12" customHeight="1" x14ac:dyDescent="0.25">
      <c r="A873" s="161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</row>
    <row r="874" spans="1:28" ht="12" customHeight="1" x14ac:dyDescent="0.25">
      <c r="A874" s="161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</row>
    <row r="875" spans="1:28" ht="12" customHeight="1" x14ac:dyDescent="0.25">
      <c r="A875" s="161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</row>
    <row r="876" spans="1:28" ht="12" customHeight="1" x14ac:dyDescent="0.25">
      <c r="A876" s="161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</row>
    <row r="877" spans="1:28" ht="12" customHeight="1" x14ac:dyDescent="0.25">
      <c r="A877" s="161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</row>
    <row r="878" spans="1:28" ht="12" customHeight="1" x14ac:dyDescent="0.25">
      <c r="A878" s="161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</row>
    <row r="879" spans="1:28" ht="12" customHeight="1" x14ac:dyDescent="0.25">
      <c r="A879" s="161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</row>
    <row r="880" spans="1:28" ht="12" customHeight="1" x14ac:dyDescent="0.25">
      <c r="A880" s="161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</row>
    <row r="881" spans="1:28" ht="12" customHeight="1" x14ac:dyDescent="0.25">
      <c r="A881" s="161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</row>
    <row r="882" spans="1:28" ht="12" customHeight="1" x14ac:dyDescent="0.25">
      <c r="A882" s="161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</row>
    <row r="883" spans="1:28" ht="12" customHeight="1" x14ac:dyDescent="0.25">
      <c r="A883" s="161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</row>
    <row r="884" spans="1:28" ht="12" customHeight="1" x14ac:dyDescent="0.25">
      <c r="A884" s="161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</row>
    <row r="885" spans="1:28" ht="12" customHeight="1" x14ac:dyDescent="0.25">
      <c r="A885" s="161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</row>
    <row r="886" spans="1:28" ht="12" customHeight="1" x14ac:dyDescent="0.25">
      <c r="A886" s="161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</row>
    <row r="887" spans="1:28" ht="12" customHeight="1" x14ac:dyDescent="0.25">
      <c r="A887" s="161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</row>
    <row r="888" spans="1:28" ht="12" customHeight="1" x14ac:dyDescent="0.25">
      <c r="A888" s="161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</row>
    <row r="889" spans="1:28" ht="12" customHeight="1" x14ac:dyDescent="0.25">
      <c r="A889" s="161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</row>
    <row r="890" spans="1:28" ht="12" customHeight="1" x14ac:dyDescent="0.25">
      <c r="A890" s="161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</row>
    <row r="891" spans="1:28" ht="12" customHeight="1" x14ac:dyDescent="0.25">
      <c r="A891" s="161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</row>
    <row r="892" spans="1:28" ht="12" customHeight="1" x14ac:dyDescent="0.25">
      <c r="A892" s="161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</row>
    <row r="893" spans="1:28" ht="12" customHeight="1" x14ac:dyDescent="0.25">
      <c r="A893" s="161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</row>
    <row r="894" spans="1:28" ht="12" customHeight="1" x14ac:dyDescent="0.25">
      <c r="A894" s="161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</row>
    <row r="895" spans="1:28" ht="12" customHeight="1" x14ac:dyDescent="0.25">
      <c r="A895" s="161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</row>
    <row r="896" spans="1:28" ht="12" customHeight="1" x14ac:dyDescent="0.25">
      <c r="A896" s="161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</row>
    <row r="897" spans="1:28" ht="12" customHeight="1" x14ac:dyDescent="0.25">
      <c r="A897" s="161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</row>
    <row r="898" spans="1:28" ht="12" customHeight="1" x14ac:dyDescent="0.25">
      <c r="A898" s="161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</row>
    <row r="899" spans="1:28" ht="12" customHeight="1" x14ac:dyDescent="0.25">
      <c r="A899" s="161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</row>
    <row r="900" spans="1:28" ht="12" customHeight="1" x14ac:dyDescent="0.25">
      <c r="A900" s="161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</row>
    <row r="901" spans="1:28" ht="12" customHeight="1" x14ac:dyDescent="0.25">
      <c r="A901" s="161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</row>
    <row r="902" spans="1:28" ht="12" customHeight="1" x14ac:dyDescent="0.25">
      <c r="A902" s="161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</row>
    <row r="903" spans="1:28" ht="12" customHeight="1" x14ac:dyDescent="0.25">
      <c r="A903" s="161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</row>
    <row r="904" spans="1:28" ht="12" customHeight="1" x14ac:dyDescent="0.25">
      <c r="A904" s="161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</row>
    <row r="905" spans="1:28" ht="12" customHeight="1" x14ac:dyDescent="0.25">
      <c r="A905" s="161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</row>
    <row r="906" spans="1:28" ht="12" customHeight="1" x14ac:dyDescent="0.25">
      <c r="A906" s="161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</row>
    <row r="907" spans="1:28" ht="12" customHeight="1" x14ac:dyDescent="0.25">
      <c r="A907" s="161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</row>
    <row r="908" spans="1:28" ht="12" customHeight="1" x14ac:dyDescent="0.25">
      <c r="A908" s="161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</row>
    <row r="909" spans="1:28" ht="12" customHeight="1" x14ac:dyDescent="0.25">
      <c r="A909" s="161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</row>
    <row r="910" spans="1:28" ht="12" customHeight="1" x14ac:dyDescent="0.25">
      <c r="A910" s="161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</row>
    <row r="911" spans="1:28" ht="12" customHeight="1" x14ac:dyDescent="0.25">
      <c r="A911" s="161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</row>
    <row r="912" spans="1:28" ht="12" customHeight="1" x14ac:dyDescent="0.25">
      <c r="A912" s="161"/>
      <c r="B912" s="146"/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</row>
    <row r="913" spans="1:28" ht="12" customHeight="1" x14ac:dyDescent="0.25">
      <c r="A913" s="161"/>
      <c r="B913" s="146"/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</row>
    <row r="914" spans="1:28" ht="12" customHeight="1" x14ac:dyDescent="0.25">
      <c r="A914" s="161"/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</row>
    <row r="915" spans="1:28" ht="12" customHeight="1" x14ac:dyDescent="0.25">
      <c r="A915" s="161"/>
      <c r="B915" s="146"/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</row>
    <row r="916" spans="1:28" ht="12" customHeight="1" x14ac:dyDescent="0.25">
      <c r="A916" s="161"/>
      <c r="B916" s="146"/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</row>
    <row r="917" spans="1:28" ht="12" customHeight="1" x14ac:dyDescent="0.25">
      <c r="A917" s="161"/>
      <c r="B917" s="146"/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</row>
    <row r="918" spans="1:28" ht="12" customHeight="1" x14ac:dyDescent="0.25">
      <c r="A918" s="161"/>
      <c r="B918" s="146"/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</row>
    <row r="919" spans="1:28" ht="12" customHeight="1" x14ac:dyDescent="0.25">
      <c r="A919" s="161"/>
      <c r="B919" s="146"/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</row>
    <row r="920" spans="1:28" ht="12" customHeight="1" x14ac:dyDescent="0.25">
      <c r="A920" s="161"/>
      <c r="B920" s="146"/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</row>
    <row r="921" spans="1:28" ht="12" customHeight="1" x14ac:dyDescent="0.25">
      <c r="A921" s="161"/>
      <c r="B921" s="146"/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</row>
    <row r="922" spans="1:28" ht="12" customHeight="1" x14ac:dyDescent="0.25">
      <c r="A922" s="161"/>
      <c r="B922" s="146"/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</row>
    <row r="923" spans="1:28" ht="12" customHeight="1" x14ac:dyDescent="0.25">
      <c r="A923" s="161"/>
      <c r="B923" s="146"/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</row>
    <row r="924" spans="1:28" ht="12" customHeight="1" x14ac:dyDescent="0.25">
      <c r="A924" s="161"/>
      <c r="B924" s="146"/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</row>
    <row r="925" spans="1:28" ht="12" customHeight="1" x14ac:dyDescent="0.25">
      <c r="A925" s="161"/>
      <c r="B925" s="146"/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</row>
    <row r="926" spans="1:28" ht="12" customHeight="1" x14ac:dyDescent="0.25">
      <c r="A926" s="161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</row>
    <row r="927" spans="1:28" ht="12" customHeight="1" x14ac:dyDescent="0.25">
      <c r="A927" s="161"/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</row>
    <row r="928" spans="1:28" ht="12" customHeight="1" x14ac:dyDescent="0.25">
      <c r="A928" s="161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</row>
    <row r="929" spans="1:28" ht="12" customHeight="1" x14ac:dyDescent="0.25">
      <c r="A929" s="161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</row>
    <row r="930" spans="1:28" ht="12" customHeight="1" x14ac:dyDescent="0.25">
      <c r="A930" s="161"/>
      <c r="B930" s="146"/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</row>
    <row r="931" spans="1:28" ht="12" customHeight="1" x14ac:dyDescent="0.25">
      <c r="A931" s="161"/>
      <c r="B931" s="146"/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</row>
    <row r="932" spans="1:28" ht="12" customHeight="1" x14ac:dyDescent="0.25">
      <c r="A932" s="161"/>
      <c r="B932" s="146"/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</row>
    <row r="933" spans="1:28" ht="12" customHeight="1" x14ac:dyDescent="0.25">
      <c r="A933" s="161"/>
      <c r="B933" s="146"/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</row>
    <row r="934" spans="1:28" ht="12" customHeight="1" x14ac:dyDescent="0.25">
      <c r="A934" s="161"/>
      <c r="B934" s="146"/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</row>
    <row r="935" spans="1:28" ht="12" customHeight="1" x14ac:dyDescent="0.25">
      <c r="A935" s="161"/>
      <c r="B935" s="146"/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</row>
    <row r="936" spans="1:28" ht="12" customHeight="1" x14ac:dyDescent="0.25">
      <c r="A936" s="161"/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</row>
    <row r="937" spans="1:28" ht="12" customHeight="1" x14ac:dyDescent="0.25">
      <c r="A937" s="161"/>
      <c r="B937" s="146"/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</row>
    <row r="938" spans="1:28" ht="12" customHeight="1" x14ac:dyDescent="0.25">
      <c r="A938" s="161"/>
      <c r="B938" s="146"/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</row>
    <row r="939" spans="1:28" ht="12" customHeight="1" x14ac:dyDescent="0.25">
      <c r="A939" s="161"/>
      <c r="B939" s="146"/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</row>
    <row r="940" spans="1:28" ht="12" customHeight="1" x14ac:dyDescent="0.25">
      <c r="A940" s="161"/>
      <c r="B940" s="146"/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</row>
    <row r="941" spans="1:28" ht="12" customHeight="1" x14ac:dyDescent="0.25">
      <c r="A941" s="161"/>
      <c r="B941" s="146"/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</row>
    <row r="942" spans="1:28" ht="12" customHeight="1" x14ac:dyDescent="0.25">
      <c r="A942" s="161"/>
      <c r="B942" s="146"/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</row>
    <row r="943" spans="1:28" ht="12" customHeight="1" x14ac:dyDescent="0.25">
      <c r="A943" s="161"/>
      <c r="B943" s="146"/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</row>
    <row r="944" spans="1:28" ht="12" customHeight="1" x14ac:dyDescent="0.25">
      <c r="A944" s="161"/>
      <c r="B944" s="146"/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</row>
    <row r="945" spans="1:28" ht="12" customHeight="1" x14ac:dyDescent="0.25">
      <c r="A945" s="161"/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</row>
    <row r="946" spans="1:28" ht="12" customHeight="1" x14ac:dyDescent="0.25">
      <c r="A946" s="161"/>
      <c r="B946" s="146"/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</row>
    <row r="947" spans="1:28" ht="12" customHeight="1" x14ac:dyDescent="0.25">
      <c r="A947" s="161"/>
      <c r="B947" s="146"/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</row>
    <row r="948" spans="1:28" ht="12" customHeight="1" x14ac:dyDescent="0.25">
      <c r="A948" s="161"/>
      <c r="B948" s="146"/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</row>
    <row r="949" spans="1:28" ht="12" customHeight="1" x14ac:dyDescent="0.25">
      <c r="A949" s="161"/>
      <c r="B949" s="146"/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</row>
    <row r="950" spans="1:28" ht="12" customHeight="1" x14ac:dyDescent="0.25">
      <c r="A950" s="161"/>
      <c r="B950" s="146"/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</row>
    <row r="951" spans="1:28" ht="12" customHeight="1" x14ac:dyDescent="0.25">
      <c r="A951" s="161"/>
      <c r="B951" s="146"/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</row>
    <row r="952" spans="1:28" ht="12" customHeight="1" x14ac:dyDescent="0.25">
      <c r="A952" s="161"/>
      <c r="B952" s="146"/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</row>
    <row r="953" spans="1:28" ht="12" customHeight="1" x14ac:dyDescent="0.25">
      <c r="A953" s="161"/>
      <c r="B953" s="146"/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</row>
    <row r="954" spans="1:28" ht="12" customHeight="1" x14ac:dyDescent="0.25">
      <c r="A954" s="161"/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</row>
    <row r="955" spans="1:28" ht="12" customHeight="1" x14ac:dyDescent="0.25">
      <c r="A955" s="161"/>
      <c r="B955" s="146"/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</row>
    <row r="956" spans="1:28" ht="12" customHeight="1" x14ac:dyDescent="0.25">
      <c r="A956" s="161"/>
      <c r="B956" s="146"/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</row>
    <row r="957" spans="1:28" ht="12" customHeight="1" x14ac:dyDescent="0.25">
      <c r="A957" s="161"/>
      <c r="B957" s="146"/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</row>
    <row r="958" spans="1:28" ht="12" customHeight="1" x14ac:dyDescent="0.25">
      <c r="A958" s="161"/>
      <c r="B958" s="146"/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</row>
    <row r="959" spans="1:28" ht="12" customHeight="1" x14ac:dyDescent="0.25">
      <c r="A959" s="161"/>
      <c r="B959" s="146"/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</row>
    <row r="960" spans="1:28" ht="12" customHeight="1" x14ac:dyDescent="0.25">
      <c r="A960" s="161"/>
      <c r="B960" s="146"/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</row>
    <row r="961" spans="1:28" ht="12" customHeight="1" x14ac:dyDescent="0.25">
      <c r="A961" s="161"/>
      <c r="B961" s="146"/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</row>
    <row r="962" spans="1:28" ht="12" customHeight="1" x14ac:dyDescent="0.25">
      <c r="A962" s="161"/>
      <c r="B962" s="146"/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</row>
    <row r="963" spans="1:28" ht="12" customHeight="1" x14ac:dyDescent="0.25">
      <c r="A963" s="161"/>
      <c r="B963" s="146"/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</row>
    <row r="964" spans="1:28" ht="12" customHeight="1" x14ac:dyDescent="0.25">
      <c r="A964" s="161"/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</row>
    <row r="965" spans="1:28" ht="12" customHeight="1" x14ac:dyDescent="0.25">
      <c r="A965" s="161"/>
      <c r="B965" s="146"/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</row>
    <row r="966" spans="1:28" ht="12" customHeight="1" x14ac:dyDescent="0.25">
      <c r="A966" s="161"/>
      <c r="B966" s="146"/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</row>
    <row r="967" spans="1:28" ht="12" customHeight="1" x14ac:dyDescent="0.25">
      <c r="A967" s="161"/>
      <c r="B967" s="146"/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</row>
    <row r="968" spans="1:28" ht="12" customHeight="1" x14ac:dyDescent="0.25">
      <c r="A968" s="161"/>
      <c r="B968" s="146"/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</row>
    <row r="969" spans="1:28" ht="12" customHeight="1" x14ac:dyDescent="0.25">
      <c r="A969" s="161"/>
      <c r="B969" s="146"/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</row>
    <row r="970" spans="1:28" ht="12" customHeight="1" x14ac:dyDescent="0.25">
      <c r="A970" s="161"/>
      <c r="B970" s="146"/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</row>
    <row r="971" spans="1:28" ht="12" customHeight="1" x14ac:dyDescent="0.25">
      <c r="A971" s="161"/>
      <c r="B971" s="146"/>
      <c r="C971" s="146"/>
      <c r="D971" s="146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</row>
    <row r="972" spans="1:28" ht="12" customHeight="1" x14ac:dyDescent="0.25">
      <c r="A972" s="161"/>
      <c r="B972" s="146"/>
      <c r="C972" s="146"/>
      <c r="D972" s="146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</row>
    <row r="973" spans="1:28" ht="12" customHeight="1" x14ac:dyDescent="0.25">
      <c r="A973" s="161"/>
      <c r="B973" s="146"/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</row>
    <row r="974" spans="1:28" ht="12" customHeight="1" x14ac:dyDescent="0.25">
      <c r="A974" s="161"/>
      <c r="B974" s="146"/>
      <c r="C974" s="146"/>
      <c r="D974" s="146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</row>
    <row r="975" spans="1:28" ht="12" customHeight="1" x14ac:dyDescent="0.25">
      <c r="A975" s="161"/>
      <c r="B975" s="146"/>
      <c r="C975" s="146"/>
      <c r="D975" s="146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</row>
    <row r="976" spans="1:28" ht="12" customHeight="1" x14ac:dyDescent="0.25">
      <c r="A976" s="161"/>
      <c r="B976" s="146"/>
      <c r="C976" s="146"/>
      <c r="D976" s="146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</row>
    <row r="977" spans="1:28" ht="12" customHeight="1" x14ac:dyDescent="0.25">
      <c r="A977" s="161"/>
      <c r="B977" s="146"/>
      <c r="C977" s="146"/>
      <c r="D977" s="146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</row>
    <row r="978" spans="1:28" ht="12" customHeight="1" x14ac:dyDescent="0.25">
      <c r="A978" s="161"/>
      <c r="B978" s="146"/>
      <c r="C978" s="146"/>
      <c r="D978" s="146"/>
      <c r="E978" s="146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  <c r="AB978" s="146"/>
    </row>
    <row r="979" spans="1:28" ht="12" customHeight="1" x14ac:dyDescent="0.25">
      <c r="A979" s="161"/>
      <c r="B979" s="146"/>
      <c r="C979" s="146"/>
      <c r="D979" s="146"/>
      <c r="E979" s="146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  <c r="AB979" s="146"/>
    </row>
    <row r="980" spans="1:28" ht="12" customHeight="1" x14ac:dyDescent="0.25">
      <c r="A980" s="161"/>
      <c r="B980" s="146"/>
      <c r="C980" s="146"/>
      <c r="D980" s="146"/>
      <c r="E980" s="146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  <c r="AB980" s="146"/>
    </row>
    <row r="981" spans="1:28" ht="12" customHeight="1" x14ac:dyDescent="0.25">
      <c r="A981" s="161"/>
      <c r="B981" s="146"/>
      <c r="C981" s="146"/>
      <c r="D981" s="146"/>
      <c r="E981" s="146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  <c r="AB981" s="146"/>
    </row>
    <row r="982" spans="1:28" ht="12" customHeight="1" x14ac:dyDescent="0.25">
      <c r="A982" s="161"/>
      <c r="B982" s="146"/>
      <c r="C982" s="146"/>
      <c r="D982" s="146"/>
      <c r="E982" s="146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  <c r="AB982" s="146"/>
    </row>
    <row r="983" spans="1:28" ht="12" customHeight="1" x14ac:dyDescent="0.25">
      <c r="A983" s="161"/>
      <c r="B983" s="146"/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  <c r="AB983" s="146"/>
    </row>
    <row r="984" spans="1:28" ht="12" customHeight="1" x14ac:dyDescent="0.25">
      <c r="A984" s="161"/>
      <c r="B984" s="146"/>
      <c r="C984" s="146"/>
      <c r="D984" s="146"/>
      <c r="E984" s="146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  <c r="AB984" s="146"/>
    </row>
    <row r="985" spans="1:28" ht="12" customHeight="1" x14ac:dyDescent="0.25">
      <c r="A985" s="161"/>
      <c r="B985" s="146"/>
      <c r="C985" s="14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  <c r="AB985" s="146"/>
    </row>
    <row r="986" spans="1:28" ht="12" customHeight="1" x14ac:dyDescent="0.25">
      <c r="A986" s="161"/>
      <c r="B986" s="146"/>
      <c r="C986" s="146"/>
      <c r="D986" s="146"/>
      <c r="E986" s="146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  <c r="AB986" s="146"/>
    </row>
    <row r="987" spans="1:28" ht="12" customHeight="1" x14ac:dyDescent="0.25">
      <c r="A987" s="161"/>
      <c r="B987" s="146"/>
      <c r="C987" s="146"/>
      <c r="D987" s="146"/>
      <c r="E987" s="146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  <c r="AB987" s="146"/>
    </row>
    <row r="988" spans="1:28" ht="12" customHeight="1" x14ac:dyDescent="0.25">
      <c r="A988" s="161"/>
      <c r="B988" s="146"/>
      <c r="C988" s="146"/>
      <c r="D988" s="146"/>
      <c r="E988" s="146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  <c r="AB988" s="146"/>
    </row>
    <row r="989" spans="1:28" ht="12" customHeight="1" x14ac:dyDescent="0.25">
      <c r="A989" s="161"/>
      <c r="B989" s="146"/>
      <c r="C989" s="146"/>
      <c r="D989" s="146"/>
      <c r="E989" s="146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  <c r="AB989" s="146"/>
    </row>
    <row r="990" spans="1:28" ht="12" customHeight="1" x14ac:dyDescent="0.25">
      <c r="A990" s="161"/>
      <c r="B990" s="146"/>
      <c r="C990" s="146"/>
      <c r="D990" s="146"/>
      <c r="E990" s="146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  <c r="AB990" s="146"/>
    </row>
    <row r="991" spans="1:28" ht="12" customHeight="1" x14ac:dyDescent="0.25">
      <c r="A991" s="161"/>
      <c r="B991" s="146"/>
      <c r="C991" s="146"/>
      <c r="D991" s="146"/>
      <c r="E991" s="146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  <c r="AB991" s="146"/>
    </row>
    <row r="992" spans="1:28" ht="12" customHeight="1" x14ac:dyDescent="0.25">
      <c r="A992" s="161"/>
      <c r="B992" s="146"/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  <c r="AB992" s="146"/>
    </row>
    <row r="993" spans="1:28" ht="12" customHeight="1" x14ac:dyDescent="0.25">
      <c r="A993" s="161"/>
      <c r="B993" s="146"/>
      <c r="C993" s="146"/>
      <c r="D993" s="146"/>
      <c r="E993" s="146"/>
      <c r="F993" s="146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  <c r="AB993" s="146"/>
    </row>
    <row r="994" spans="1:28" ht="12" customHeight="1" x14ac:dyDescent="0.25">
      <c r="A994" s="161"/>
      <c r="B994" s="146"/>
      <c r="C994" s="146"/>
      <c r="D994" s="146"/>
      <c r="E994" s="146"/>
      <c r="F994" s="146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  <c r="AB994" s="146"/>
    </row>
    <row r="995" spans="1:28" ht="12" customHeight="1" x14ac:dyDescent="0.25">
      <c r="A995" s="161"/>
      <c r="B995" s="146"/>
      <c r="C995" s="146"/>
      <c r="D995" s="146"/>
      <c r="E995" s="146"/>
      <c r="F995" s="146"/>
      <c r="G995" s="146"/>
      <c r="H995" s="146"/>
      <c r="I995" s="146"/>
      <c r="J995" s="146"/>
      <c r="K995" s="146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  <c r="AB995" s="146"/>
    </row>
    <row r="996" spans="1:28" ht="12" customHeight="1" x14ac:dyDescent="0.25">
      <c r="A996" s="161"/>
      <c r="B996" s="146"/>
      <c r="C996" s="146"/>
      <c r="D996" s="146"/>
      <c r="E996" s="146"/>
      <c r="F996" s="146"/>
      <c r="G996" s="146"/>
      <c r="H996" s="146"/>
      <c r="I996" s="146"/>
      <c r="J996" s="146"/>
      <c r="K996" s="146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  <c r="AB996" s="146"/>
    </row>
    <row r="997" spans="1:28" ht="12" customHeight="1" x14ac:dyDescent="0.25">
      <c r="A997" s="161"/>
      <c r="B997" s="146"/>
      <c r="C997" s="146"/>
      <c r="D997" s="146"/>
      <c r="E997" s="146"/>
      <c r="F997" s="146"/>
      <c r="G997" s="146"/>
      <c r="H997" s="146"/>
      <c r="I997" s="146"/>
      <c r="J997" s="146"/>
      <c r="K997" s="146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  <c r="AB997" s="146"/>
    </row>
    <row r="998" spans="1:28" ht="12" customHeight="1" x14ac:dyDescent="0.25">
      <c r="A998" s="161"/>
      <c r="B998" s="146"/>
      <c r="C998" s="146"/>
      <c r="D998" s="146"/>
      <c r="E998" s="146"/>
      <c r="F998" s="146"/>
      <c r="G998" s="146"/>
      <c r="H998" s="146"/>
      <c r="I998" s="146"/>
      <c r="J998" s="146"/>
      <c r="K998" s="146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  <c r="AB998" s="146"/>
    </row>
    <row r="999" spans="1:28" ht="12" customHeight="1" x14ac:dyDescent="0.25">
      <c r="A999" s="161"/>
      <c r="B999" s="146"/>
      <c r="C999" s="146"/>
      <c r="D999" s="146"/>
      <c r="E999" s="146"/>
      <c r="F999" s="146"/>
      <c r="G999" s="146"/>
      <c r="H999" s="146"/>
      <c r="I999" s="146"/>
      <c r="J999" s="146"/>
      <c r="K999" s="146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  <c r="AB999" s="146"/>
    </row>
    <row r="1000" spans="1:28" ht="12" customHeight="1" x14ac:dyDescent="0.25">
      <c r="A1000" s="161"/>
      <c r="B1000" s="146"/>
      <c r="C1000" s="146"/>
      <c r="D1000" s="146"/>
      <c r="E1000" s="146"/>
      <c r="F1000" s="146"/>
      <c r="G1000" s="146"/>
      <c r="H1000" s="146"/>
      <c r="I1000" s="146"/>
      <c r="J1000" s="146"/>
      <c r="K1000" s="146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  <c r="AB1000" s="146"/>
    </row>
  </sheetData>
  <mergeCells count="1">
    <mergeCell ref="H18:I18"/>
  </mergeCells>
  <printOptions gridLines="1"/>
  <pageMargins left="0.25" right="0.25" top="0.75" bottom="0.75" header="0" footer="0"/>
  <pageSetup orientation="landscape"/>
  <headerFooter>
    <oddHeader>&amp;CCumulative Summary Proposal Budget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A5265D2267D4EB214890806CEC750" ma:contentTypeVersion="20" ma:contentTypeDescription="Create a new document." ma:contentTypeScope="" ma:versionID="f23b20f44de21752aa9b0df04e126549">
  <xsd:schema xmlns:xsd="http://www.w3.org/2001/XMLSchema" xmlns:xs="http://www.w3.org/2001/XMLSchema" xmlns:p="http://schemas.microsoft.com/office/2006/metadata/properties" xmlns:ns1="http://schemas.microsoft.com/sharepoint/v3" xmlns:ns2="c4c6f437-7a45-48d7-a31d-1f801e209eae" xmlns:ns3="d05bcd70-f59b-4b02-8d4b-d5c872a6c2ec" targetNamespace="http://schemas.microsoft.com/office/2006/metadata/properties" ma:root="true" ma:fieldsID="72b26a6d439ef685adcfb371875e5a7e" ns1:_="" ns2:_="" ns3:_="">
    <xsd:import namespace="http://schemas.microsoft.com/sharepoint/v3"/>
    <xsd:import namespace="c4c6f437-7a45-48d7-a31d-1f801e209eae"/>
    <xsd:import namespace="d05bcd70-f59b-4b02-8d4b-d5c872a6c2e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c6f437-7a45-48d7-a31d-1f801e209e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07ee552a-d78a-428e-b559-aa5e599d5319}" ma:internalName="TaxCatchAll" ma:showField="CatchAllData" ma:web="c4c6f437-7a45-48d7-a31d-1f801e209e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5bcd70-f59b-4b02-8d4b-d5c872a6c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f924f0ff-682f-4b97-8273-0421c1f819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8CE015-59E0-4059-81A9-7FCCE36031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c6f437-7a45-48d7-a31d-1f801e209eae"/>
    <ds:schemaRef ds:uri="d05bcd70-f59b-4b02-8d4b-d5c872a6c2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F7784E-3600-4DAA-96CC-23E81F6332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Year1</vt:lpstr>
      <vt:lpstr>Year2</vt:lpstr>
      <vt:lpstr>Year3</vt:lpstr>
      <vt:lpstr>Year4</vt:lpstr>
      <vt:lpstr>Year 5</vt:lpstr>
      <vt:lpstr>All 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Bobbie Ursin</dc:creator>
  <cp:lastModifiedBy>Jones, Mollyann (mollyannj@uidaho.edu)</cp:lastModifiedBy>
  <dcterms:created xsi:type="dcterms:W3CDTF">2019-07-15T17:51:31Z</dcterms:created>
  <dcterms:modified xsi:type="dcterms:W3CDTF">2024-03-29T22:28:35Z</dcterms:modified>
</cp:coreProperties>
</file>